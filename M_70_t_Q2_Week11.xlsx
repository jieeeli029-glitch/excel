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420" tabRatio="600" firstSheet="0" activeTab="1" autoFilterDateGrouping="1"/>
  </bookViews>
  <sheets>
    <sheet xmlns:r="http://schemas.openxmlformats.org/officeDocument/2006/relationships" name="M_70_t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Q2(a)_Derivation" sheetId="3" state="visible" r:id="rId3"/>
    <sheet xmlns:r="http://schemas.openxmlformats.org/officeDocument/2006/relationships" name="Q2_ReadMe" sheetId="4" state="visible" r:id="rId4"/>
    <sheet xmlns:r="http://schemas.openxmlformats.org/officeDocument/2006/relationships" name="Q2(b)_M1" sheetId="5" state="visible" r:id="rId5"/>
    <sheet xmlns:r="http://schemas.openxmlformats.org/officeDocument/2006/relationships" name="Q2(b)_Forecast" sheetId="6" state="visible" r:id="rId6"/>
    <sheet xmlns:r="http://schemas.openxmlformats.org/officeDocument/2006/relationships" name="Q2(c)_M1" sheetId="7" state="visible" r:id="rId7"/>
    <sheet xmlns:r="http://schemas.openxmlformats.org/officeDocument/2006/relationships" name="Q2(c)_M1_Forecast" sheetId="8" state="visible" r:id="rId8"/>
    <sheet xmlns:r="http://schemas.openxmlformats.org/officeDocument/2006/relationships" name="Q2(c)_M2" sheetId="9" state="visible" r:id="rId9"/>
    <sheet xmlns:r="http://schemas.openxmlformats.org/officeDocument/2006/relationships" name="Q2(c)_M2_Forecast" sheetId="10" state="visible" r:id="rId10"/>
    <sheet xmlns:r="http://schemas.openxmlformats.org/officeDocument/2006/relationships" name="Q2(c)_Comparison" sheetId="11" state="visible" r:id="rId11"/>
  </sheets>
  <definedNames>
    <definedName name="solver_adj" localSheetId="4" hidden="1">'Q2(b)_M1'!$B$24:$G$24</definedName>
    <definedName name="solver_opt" localSheetId="4" hidden="1">'Q2(b)_M1'!$B$34</definedName>
    <definedName name="solver_typ" localSheetId="4" hidden="1">2</definedName>
    <definedName name="solver_num" localSheetId="4" hidden="1">0</definedName>
    <definedName name="solver_neg" localSheetId="4" hidden="1">2</definedName>
    <definedName name="solver_eng" localSheetId="4" hidden="1">1</definedName>
    <definedName name="solver_lin" localSheetId="4" hidden="1">2</definedName>
    <definedName name="solver_pre" localSheetId="4" hidden="1">0.000000001</definedName>
    <definedName name="solver_cvg" localSheetId="4" hidden="1">0.000000001</definedName>
    <definedName name="solver_scl" localSheetId="4" hidden="1">1</definedName>
    <definedName name="solver_ver" localSheetId="4" hidden="1">2</definedName>
    <definedName name="solver_adj" localSheetId="6" hidden="1">'Q2(c)_M1'!$B$24:$G$24</definedName>
    <definedName name="solver_opt" localSheetId="6" hidden="1">'Q2(c)_M1'!$B$34</definedName>
    <definedName name="solver_typ" localSheetId="6" hidden="1">2</definedName>
    <definedName name="solver_num" localSheetId="6" hidden="1">0</definedName>
    <definedName name="solver_neg" localSheetId="6" hidden="1">2</definedName>
    <definedName name="solver_eng" localSheetId="6" hidden="1">1</definedName>
    <definedName name="solver_lin" localSheetId="6" hidden="1">2</definedName>
    <definedName name="solver_pre" localSheetId="6" hidden="1">0.000000001</definedName>
    <definedName name="solver_cvg" localSheetId="6" hidden="1">0.000000001</definedName>
    <definedName name="solver_scl" localSheetId="6" hidden="1">1</definedName>
    <definedName name="solver_ver" localSheetId="6" hidden="1">2</definedName>
    <definedName name="solver_adj" localSheetId="8" hidden="1">'Q2(c)_M2'!$B$24:$M$24</definedName>
    <definedName name="solver_opt" localSheetId="8" hidden="1">'Q2(c)_M2'!$B$34</definedName>
    <definedName name="solver_typ" localSheetId="8" hidden="1">2</definedName>
    <definedName name="solver_num" localSheetId="8" hidden="1">0</definedName>
    <definedName name="solver_neg" localSheetId="8" hidden="1">2</definedName>
    <definedName name="solver_eng" localSheetId="8" hidden="1">1</definedName>
    <definedName name="solver_lin" localSheetId="8" hidden="1">2</definedName>
    <definedName name="solver_pre" localSheetId="8" hidden="1">0.000000001</definedName>
    <definedName name="solver_cvg" localSheetId="8" hidden="1">0.000000001</definedName>
    <definedName name="solver_scl" localSheetId="8" hidden="1">1</definedName>
    <definedName name="solver_ver" localSheetId="8" hidden="1">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000"/>
    <numFmt numFmtId="165" formatCode="0.000000000000E+00"/>
    <numFmt numFmtId="166" formatCode="0.000000000000"/>
  </numFmts>
  <fonts count="26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b val="1"/>
      <color rgb="0017365D"/>
      <sz val="13"/>
    </font>
    <font>
      <name val="Calibri"/>
      <color rgb="00000000"/>
      <sz val="10"/>
    </font>
    <font>
      <name val="Calibri"/>
      <b val="1"/>
      <color rgb="0017365D"/>
      <sz val="10"/>
    </font>
    <font>
      <name val="Calibri"/>
      <b val="1"/>
      <color rgb="0017365D"/>
      <sz val="14"/>
    </font>
    <font>
      <name val="Calibri"/>
      <sz val="10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1">
    <xf numFmtId="0" fontId="0" fillId="0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vertical="center" wrapText="1"/>
    </xf>
    <xf numFmtId="0" fontId="22" fillId="0" borderId="0" pivotButton="0" quotePrefix="0" xfId="0"/>
    <xf numFmtId="1" fontId="22" fillId="0" borderId="0" pivotButton="0" quotePrefix="0" xfId="0"/>
    <xf numFmtId="164" fontId="22" fillId="0" borderId="0" pivotButton="0" quotePrefix="0" xfId="0"/>
    <xf numFmtId="0" fontId="23" fillId="33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165" fontId="22" fillId="0" borderId="0" pivotButton="0" quotePrefix="0" xfId="0"/>
    <xf numFmtId="1" fontId="23" fillId="33" borderId="0" applyAlignment="1" pivotButton="0" quotePrefix="0" xfId="0">
      <alignment vertical="center" wrapText="1"/>
    </xf>
    <xf numFmtId="164" fontId="23" fillId="33" borderId="0" applyAlignment="1" pivotButton="0" quotePrefix="0" xfId="0">
      <alignment vertical="center" wrapText="1"/>
    </xf>
    <xf numFmtId="0" fontId="21" fillId="33" borderId="0" applyAlignment="1" pivotButton="0" quotePrefix="0" xfId="0">
      <alignment vertical="center" wrapText="1"/>
    </xf>
    <xf numFmtId="0" fontId="22" fillId="33" borderId="0" applyAlignment="1" pivotButton="0" quotePrefix="0" xfId="0">
      <alignment vertical="center" wrapText="1"/>
    </xf>
    <xf numFmtId="0" fontId="24" fillId="0" borderId="0" pivotButton="0" quotePrefix="0" xfId="0"/>
    <xf numFmtId="0" fontId="25" fillId="33" borderId="0" applyAlignment="1" pivotButton="0" quotePrefix="0" xfId="0">
      <alignment vertical="center" wrapText="1"/>
    </xf>
    <xf numFmtId="0" fontId="25" fillId="0" borderId="0" pivotButton="0" quotePrefix="0" xfId="0"/>
    <xf numFmtId="164" fontId="25" fillId="0" borderId="0" pivotButton="0" quotePrefix="0" xfId="0"/>
    <xf numFmtId="166" fontId="25" fillId="34" borderId="0" pivotButton="0" quotePrefix="0" xfId="0"/>
    <xf numFmtId="1" fontId="25" fillId="0" borderId="0" pivotButton="0" quotePrefix="0" xfId="0"/>
    <xf numFmtId="1" fontId="0" fillId="0" borderId="0" pivotButton="0" quotePrefix="0" xfId="0"/>
    <xf numFmtId="164" fontId="25" fillId="33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Q2(b)_M1: observed, fitted and projected mortality</a:t>
            </a:r>
          </a:p>
        </rich>
      </tx>
    </title>
    <plotArea>
      <scatterChart>
        <ser>
          <idx val="0"/>
          <order val="0"/>
          <tx>
            <v>Observed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'Q2(b)_Forecast'!$F$7:$F$31</f>
            </numRef>
          </xVal>
          <yVal>
            <numRef>
              <f>'Q2(b)_Forecast'!$G$7:$G$31</f>
            </numRef>
          </yVal>
        </ser>
        <ser>
          <idx val="1"/>
          <order val="1"/>
          <tx>
            <v>Fitted / projected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'Q2(b)_Forecast'!$F$7:$F$31</f>
            </numRef>
          </xVal>
          <yVal>
            <numRef>
              <f>'Q2(b)_Forecast'!$I$7:$I$31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Central mortality rate (per person-year)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Q2(c)_M1: observed, fitted and projected mortality</a:t>
            </a:r>
          </a:p>
        </rich>
      </tx>
    </title>
    <plotArea>
      <scatterChart>
        <ser>
          <idx val="0"/>
          <order val="0"/>
          <tx>
            <v>Observed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'Q2(c)_M1_Forecast'!$F$7:$F$31</f>
            </numRef>
          </xVal>
          <yVal>
            <numRef>
              <f>'Q2(c)_M1_Forecast'!$G$7:$G$31</f>
            </numRef>
          </yVal>
        </ser>
        <ser>
          <idx val="1"/>
          <order val="1"/>
          <tx>
            <v>Fitted / projected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'Q2(c)_M1_Forecast'!$F$7:$F$31</f>
            </numRef>
          </xVal>
          <yVal>
            <numRef>
              <f>'Q2(c)_M1_Forecast'!$I$7:$I$31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Central mortality rate (per person-year)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Q2(c)_M2: observed, fitted and projected mortality</a:t>
            </a:r>
          </a:p>
        </rich>
      </tx>
    </title>
    <plotArea>
      <scatterChart>
        <ser>
          <idx val="0"/>
          <order val="0"/>
          <tx>
            <v>Observed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'Q2(c)_M2_Forecast'!$F$7:$F$31</f>
            </numRef>
          </xVal>
          <yVal>
            <numRef>
              <f>'Q2(c)_M2_Forecast'!$G$7:$G$31</f>
            </numRef>
          </yVal>
        </ser>
        <ser>
          <idx val="1"/>
          <order val="1"/>
          <tx>
            <v>Fitted / projected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'Q2(c)_M2_Forecast'!$F$7:$F$31</f>
            </numRef>
          </xVal>
          <yVal>
            <numRef>
              <f>'Q2(c)_M2_Forecast'!$I$7:$I$31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Central mortality rate (per person-year)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Q2(c): observed and refitted M1 / M2</a:t>
            </a:r>
          </a:p>
        </rich>
      </tx>
    </title>
    <plotArea>
      <scatterChart>
        <ser>
          <idx val="0"/>
          <order val="0"/>
          <tx>
            <v>Observed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'Q2(c)_Comparison'!$A$6:$A$30</f>
            </numRef>
          </xVal>
          <yVal>
            <numRef>
              <f>'Q2(c)_Comparison'!$B$6:$B$30</f>
            </numRef>
          </yVal>
        </ser>
        <ser>
          <idx val="1"/>
          <order val="1"/>
          <tx>
            <v>M1 (refitted)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'Q2(c)_Comparison'!$A$6:$A$30</f>
            </numRef>
          </xVal>
          <yVal>
            <numRef>
              <f>'Q2(c)_Comparison'!$C$6:$C$30</f>
            </numRef>
          </yVal>
        </ser>
        <ser>
          <idx val="2"/>
          <order val="2"/>
          <tx>
            <v>M2</v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'Q2(c)_Comparison'!$A$6:$A$30</f>
            </numRef>
          </xVal>
          <yVal>
            <numRef>
              <f>'Q2(c)_Comparison'!$D$6:$D$30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Central mortality rate (per person-year)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47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47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47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D11" sqref="D11"/>
    </sheetView>
  </sheetViews>
  <sheetFormatPr baseColWidth="8" defaultColWidth="11" defaultRowHeight="17.6"/>
  <sheetData>
    <row r="1">
      <c r="A1" t="inlineStr">
        <is>
          <t>Year</t>
        </is>
      </c>
      <c r="B1" t="inlineStr">
        <is>
          <t>Mortality rate</t>
        </is>
      </c>
    </row>
    <row r="2">
      <c r="A2" t="n">
        <v>1995</v>
      </c>
      <c r="B2" t="n">
        <v>0.00085662921497227</v>
      </c>
    </row>
    <row r="3">
      <c r="A3" t="n">
        <v>1996</v>
      </c>
      <c r="B3" t="n">
        <v>0.000829999326054679</v>
      </c>
    </row>
    <row r="4">
      <c r="A4" t="n">
        <v>1997</v>
      </c>
      <c r="B4" t="n">
        <v>0.000809999532679543</v>
      </c>
    </row>
    <row r="5">
      <c r="A5" t="n">
        <v>1998</v>
      </c>
      <c r="B5" t="n">
        <v>0.000977509744182435</v>
      </c>
    </row>
    <row r="6">
      <c r="A6" t="n">
        <v>1999</v>
      </c>
      <c r="B6" t="n">
        <v>0.00078849179100953</v>
      </c>
    </row>
    <row r="7">
      <c r="A7" t="n">
        <v>2000</v>
      </c>
      <c r="B7" t="n">
        <v>0.000996671913028582</v>
      </c>
    </row>
    <row r="8">
      <c r="A8" t="n">
        <v>2001</v>
      </c>
      <c r="B8" t="n">
        <v>0.000751128178971613</v>
      </c>
    </row>
    <row r="9">
      <c r="A9" t="n">
        <v>2002</v>
      </c>
      <c r="B9" t="n">
        <v>0.000704287501379657</v>
      </c>
    </row>
    <row r="10">
      <c r="A10" t="n">
        <v>2003</v>
      </c>
      <c r="B10" t="n">
        <v>0.000625608818105246</v>
      </c>
    </row>
    <row r="11">
      <c r="A11" t="n">
        <v>2004</v>
      </c>
      <c r="B11" t="n">
        <v>0.0006301413945624279</v>
      </c>
    </row>
    <row r="12">
      <c r="A12" t="n">
        <v>2005</v>
      </c>
      <c r="B12" t="n">
        <v>0.000583834238658234</v>
      </c>
    </row>
    <row r="13">
      <c r="A13" t="n">
        <v>2006</v>
      </c>
      <c r="B13" t="n">
        <v>0.00049907284917175</v>
      </c>
    </row>
    <row r="14">
      <c r="A14" t="n">
        <v>2007</v>
      </c>
      <c r="B14" t="n">
        <v>0.000562415397345535</v>
      </c>
    </row>
    <row r="15">
      <c r="A15" t="n">
        <v>2008</v>
      </c>
      <c r="B15" t="n">
        <v>0.000566198077146295</v>
      </c>
    </row>
    <row r="16">
      <c r="A16" t="n">
        <v>2009</v>
      </c>
      <c r="B16" t="n">
        <v>0.0005406067190499929</v>
      </c>
    </row>
    <row r="17">
      <c r="A17" t="n">
        <v>2010</v>
      </c>
      <c r="B17" t="n">
        <v>0.000485007361502359</v>
      </c>
    </row>
    <row r="18">
      <c r="A18" t="n">
        <v>2011</v>
      </c>
      <c r="B18" t="n">
        <v>0.000524958614254075</v>
      </c>
    </row>
    <row r="19">
      <c r="A19" t="n">
        <v>2012</v>
      </c>
      <c r="B19" t="n">
        <v>0.00044495933160701</v>
      </c>
    </row>
    <row r="20">
      <c r="A20" t="n">
        <v>2013</v>
      </c>
      <c r="B20" t="n">
        <v>0.000411123072431183</v>
      </c>
    </row>
    <row r="21">
      <c r="A21" t="n">
        <v>2014</v>
      </c>
      <c r="B21" t="n">
        <v>0.000448815815194456</v>
      </c>
    </row>
    <row r="22">
      <c r="A22" t="n">
        <v>2015</v>
      </c>
      <c r="B22" t="n">
        <v>0.00040681103089844</v>
      </c>
    </row>
    <row r="23">
      <c r="A23" t="n">
        <v>2016</v>
      </c>
      <c r="B23" t="n">
        <v>0.0004910541791110741</v>
      </c>
    </row>
    <row r="24">
      <c r="A24" t="n">
        <v>2017</v>
      </c>
      <c r="B24" t="n">
        <v>0.000460024326747511</v>
      </c>
    </row>
    <row r="25">
      <c r="A25" t="n">
        <v>2018</v>
      </c>
      <c r="B25" t="n">
        <v>0.000416641795239238</v>
      </c>
    </row>
    <row r="26">
      <c r="A26" t="n">
        <v>2019</v>
      </c>
      <c r="B26" t="n">
        <v>0.000443439970792087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.06666666666667" defaultRowHeight="17.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N53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16" customWidth="1" min="9" max="9"/>
    <col width="16" customWidth="1" min="10" max="10"/>
    <col width="16" customWidth="1" min="11" max="11"/>
    <col width="22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Q2(a): Cox–de Boor recursion and support</t>
        </is>
      </c>
    </row>
    <row r="3" ht="42" customHeight="1">
      <c r="A3" s="2" t="inlineStr">
        <is>
          <t>Convention: B_(t_j,k)(t) denotes order k (degree k−1), with support [t_j, t_(j+k)). For M1, h=3 years and t_(j+r)=t_j+3r; extend the uniform knot sequence as required.</t>
        </is>
      </c>
    </row>
    <row r="5" ht="42" customHeight="1">
      <c r="A5" s="2" t="inlineStr">
        <is>
          <t>Order 1: B_(t_j,1)(t)=1 if t_j≤t&lt;t_j+h, and 0 otherwise. All subsequent basis functions are obtained from this indicator using the recursion below.</t>
        </is>
      </c>
    </row>
    <row r="7" ht="42" customHeight="1">
      <c r="A7" s="2" t="inlineStr">
        <is>
          <t>For k=2,3,4: B_(t_j,k)(t)=[(t−t_j)/((k−1)h)] B_(t_j,k−1)(t)+[(t_j+kh−t)/((k−1)h)] B_(t_(j+1),k−1)(t).</t>
        </is>
      </c>
    </row>
    <row r="9" ht="42" customHeight="1">
      <c r="A9" s="2" t="inlineStr">
        <is>
          <t>Order 2: B_(t_j,2)=[(t−t_j)/h]B_(t_j,1)+[(t_j+2h−t)/h]B_(t_(j+1),1).</t>
        </is>
      </c>
    </row>
    <row r="11" ht="42" customHeight="1">
      <c r="A11" s="2" t="inlineStr">
        <is>
          <t>Order 3: B_(t_j,3)=[(t−t_j)/(2h)]B_(t_j,2)+[(t_j+3h−t)/(2h)]B_(t_(j+1),2).</t>
        </is>
      </c>
    </row>
    <row r="13" ht="42" customHeight="1">
      <c r="A13" s="2" t="inlineStr">
        <is>
          <t>Order 4: B_(t_j,4)=[(t−t_j)/(3h)]B_(t_j,3)+[(t_j+4h−t)/(3h)]B_(t_(j+1),3).</t>
        </is>
      </c>
    </row>
    <row r="15" ht="42" customHeight="1">
      <c r="A15" s="2" t="inlineStr">
        <is>
          <t>To display the piecewise forms compactly, let u=(t−t_j)/h and v_+=MAX(v,0). Then B_(t_j,k)(t)=Σ_(r=0)^k (−1)^r COMBIN(k,r)(u−r)_+^(k−1)/(k−1)! for k≥2.</t>
        </is>
      </c>
    </row>
    <row r="17" ht="42" customHeight="1">
      <c r="A17" s="2" t="inlineStr">
        <is>
          <t>Order 2: u_+−2(u−1)_++(u−2)_+. Order 3: [u_+²−3(u−1)_+²+3(u−2)_+²−(u−3)_+²]/2.</t>
        </is>
      </c>
    </row>
    <row r="19" ht="42" customHeight="1">
      <c r="A19" s="2" t="inlineStr">
        <is>
          <t>Order 4: [u_+³−4(u−1)_+³+6(u−2)_+³−4(u−3)_+³+(u−4)_+³]/6. The recurrence tables in this sheet and the model sheets calculate the same functions directly.</t>
        </is>
      </c>
    </row>
    <row r="21" ht="42" customHeight="1">
      <c r="A21" s="2" t="inlineStr">
        <is>
          <t>The first-order support is one knot interval. Each recursion combines adjacent lower-order supports, adding one interval. The support length is therefore kh: 3, 6, 9 and 12 years for orders 1–4. For k≥2 the curve is also zero at the left endpoint; support here means the usual enclosing knot interval.</t>
        </is>
      </c>
    </row>
    <row r="25">
      <c r="A25" s="3" t="inlineStr">
        <is>
          <t>Basis</t>
        </is>
      </c>
      <c r="B25" s="3" t="inlineStr">
        <is>
          <t>Order</t>
        </is>
      </c>
      <c r="C25" s="3" t="inlineStr">
        <is>
          <t>Degree</t>
        </is>
      </c>
      <c r="D25" s="3" t="inlineStr">
        <is>
          <t>Start year</t>
        </is>
      </c>
      <c r="E25" s="3" t="inlineStr">
        <is>
          <t>End year (excluded)</t>
        </is>
      </c>
      <c r="F25" s="3" t="inlineStr">
        <is>
          <t>Support length (years)</t>
        </is>
      </c>
    </row>
    <row r="26">
      <c r="A26" s="3" t="inlineStr">
        <is>
          <t>B_1998,1</t>
        </is>
      </c>
      <c r="B26" s="3" t="n">
        <v>1</v>
      </c>
      <c r="C26" s="3" t="n">
        <v>0</v>
      </c>
      <c r="D26" s="4" t="n">
        <v>1998</v>
      </c>
      <c r="E26" s="4">
        <f>D26+3*B26</f>
        <v>2001</v>
      </c>
      <c r="F26" s="4">
        <f>E26-D26</f>
        <v>3</v>
      </c>
    </row>
    <row r="27">
      <c r="A27" s="3" t="inlineStr">
        <is>
          <t>B_1998,2</t>
        </is>
      </c>
      <c r="B27" s="3" t="n">
        <v>2</v>
      </c>
      <c r="C27" s="3" t="n">
        <v>1</v>
      </c>
      <c r="D27" s="4" t="n">
        <v>1998</v>
      </c>
      <c r="E27" s="4">
        <f>D27+3*B27</f>
        <v>2004</v>
      </c>
      <c r="F27" s="4">
        <f>E27-D27</f>
        <v>6</v>
      </c>
    </row>
    <row r="28">
      <c r="A28" s="3" t="inlineStr">
        <is>
          <t>B_1998,3</t>
        </is>
      </c>
      <c r="B28" s="3" t="n">
        <v>3</v>
      </c>
      <c r="C28" s="3" t="n">
        <v>2</v>
      </c>
      <c r="D28" s="4" t="n">
        <v>1998</v>
      </c>
      <c r="E28" s="4">
        <f>D28+3*B28</f>
        <v>2007</v>
      </c>
      <c r="F28" s="4">
        <f>E28-D28</f>
        <v>9</v>
      </c>
    </row>
    <row r="29">
      <c r="A29" s="3" t="inlineStr">
        <is>
          <t>B_1998,4</t>
        </is>
      </c>
      <c r="B29" s="3" t="n">
        <v>4</v>
      </c>
      <c r="C29" s="3" t="n">
        <v>3</v>
      </c>
      <c r="D29" s="4" t="n">
        <v>1998</v>
      </c>
      <c r="E29" s="4">
        <f>D29+3*B29</f>
        <v>2010</v>
      </c>
      <c r="F29" s="4">
        <f>E29-D29</f>
        <v>12</v>
      </c>
    </row>
    <row r="31" ht="42" customHeight="1">
      <c r="A31" s="2" t="inlineStr">
        <is>
          <t>Excel worked example below: B_1998,k for t=1995,…,2013. Intermediate adjacent first-, second- and third-order bases are retained so that every recursion step is visible.</t>
        </is>
      </c>
    </row>
    <row r="34">
      <c r="A34" s="3" t="inlineStr">
        <is>
          <t>Year</t>
        </is>
      </c>
      <c r="B34" s="3" t="inlineStr">
        <is>
          <t>B1998,order1</t>
        </is>
      </c>
      <c r="C34" s="3" t="inlineStr">
        <is>
          <t>B2001,order1</t>
        </is>
      </c>
      <c r="D34" s="3" t="inlineStr">
        <is>
          <t>B2004,order1</t>
        </is>
      </c>
      <c r="E34" s="3" t="inlineStr">
        <is>
          <t>B2007,order1</t>
        </is>
      </c>
      <c r="F34" s="3" t="inlineStr">
        <is>
          <t>B1998,order2</t>
        </is>
      </c>
      <c r="G34" s="3" t="inlineStr">
        <is>
          <t>B2001,order2</t>
        </is>
      </c>
      <c r="H34" s="3" t="inlineStr">
        <is>
          <t>B2004,order2</t>
        </is>
      </c>
      <c r="I34" s="3" t="inlineStr">
        <is>
          <t>B1998,order3</t>
        </is>
      </c>
      <c r="J34" s="3" t="inlineStr">
        <is>
          <t>B2001,order3</t>
        </is>
      </c>
      <c r="K34" s="3" t="inlineStr">
        <is>
          <t>B1998,order4</t>
        </is>
      </c>
    </row>
    <row r="35">
      <c r="A35" s="3" t="n">
        <v>1995</v>
      </c>
      <c r="B35" s="5">
        <f>IF(AND($A35&gt;=1998,$A35&lt;2001),1,0)</f>
        <v>0</v>
      </c>
      <c r="C35" s="5">
        <f>IF(AND($A35&gt;=2001,$A35&lt;2004),1,0)</f>
        <v>0</v>
      </c>
      <c r="D35" s="5">
        <f>IF(AND($A35&gt;=2004,$A35&lt;2007),1,0)</f>
        <v>0</v>
      </c>
      <c r="E35" s="5">
        <f>IF(AND($A35&gt;=2007,$A35&lt;2010),1,0)</f>
        <v>0</v>
      </c>
      <c r="F35" s="5">
        <f>($A35-1998)/3*B35+(2004-$A35)/3*C35</f>
        <v>0</v>
      </c>
      <c r="G35" s="5">
        <f>($A35-2001)/3*C35+(2007-$A35)/3*D35</f>
        <v>0</v>
      </c>
      <c r="H35" s="5">
        <f>($A35-2004)/3*D35+(2010-$A35)/3*E35</f>
        <v>0</v>
      </c>
      <c r="I35" s="5">
        <f>($A35-1998)/6*F35+(2007-$A35)/6*G35</f>
        <v>0</v>
      </c>
      <c r="J35" s="5">
        <f>($A35-2001)/6*G35+(2010-$A35)/6*H35</f>
        <v>0</v>
      </c>
      <c r="K35" s="5">
        <f>($A35-1998)/9*I35+(2010-$A35)/9*J35</f>
        <v>0</v>
      </c>
    </row>
    <row r="36">
      <c r="A36" s="3" t="n">
        <v>1996</v>
      </c>
      <c r="B36" s="5">
        <f>IF(AND($A36&gt;=1998,$A36&lt;2001),1,0)</f>
        <v>0</v>
      </c>
      <c r="C36" s="5">
        <f>IF(AND($A36&gt;=2001,$A36&lt;2004),1,0)</f>
        <v>0</v>
      </c>
      <c r="D36" s="5">
        <f>IF(AND($A36&gt;=2004,$A36&lt;2007),1,0)</f>
        <v>0</v>
      </c>
      <c r="E36" s="5">
        <f>IF(AND($A36&gt;=2007,$A36&lt;2010),1,0)</f>
        <v>0</v>
      </c>
      <c r="F36" s="5">
        <f>($A36-1998)/3*B36+(2004-$A36)/3*C36</f>
        <v>0</v>
      </c>
      <c r="G36" s="5">
        <f>($A36-2001)/3*C36+(2007-$A36)/3*D36</f>
        <v>0</v>
      </c>
      <c r="H36" s="5">
        <f>($A36-2004)/3*D36+(2010-$A36)/3*E36</f>
        <v>0</v>
      </c>
      <c r="I36" s="5">
        <f>($A36-1998)/6*F36+(2007-$A36)/6*G36</f>
        <v>0</v>
      </c>
      <c r="J36" s="5">
        <f>($A36-2001)/6*G36+(2010-$A36)/6*H36</f>
        <v>0</v>
      </c>
      <c r="K36" s="5">
        <f>($A36-1998)/9*I36+(2010-$A36)/9*J36</f>
        <v>0</v>
      </c>
    </row>
    <row r="37">
      <c r="A37" s="3" t="n">
        <v>1997</v>
      </c>
      <c r="B37" s="5">
        <f>IF(AND($A37&gt;=1998,$A37&lt;2001),1,0)</f>
        <v>0</v>
      </c>
      <c r="C37" s="5">
        <f>IF(AND($A37&gt;=2001,$A37&lt;2004),1,0)</f>
        <v>0</v>
      </c>
      <c r="D37" s="5">
        <f>IF(AND($A37&gt;=2004,$A37&lt;2007),1,0)</f>
        <v>0</v>
      </c>
      <c r="E37" s="5">
        <f>IF(AND($A37&gt;=2007,$A37&lt;2010),1,0)</f>
        <v>0</v>
      </c>
      <c r="F37" s="5">
        <f>($A37-1998)/3*B37+(2004-$A37)/3*C37</f>
        <v>0</v>
      </c>
      <c r="G37" s="5">
        <f>($A37-2001)/3*C37+(2007-$A37)/3*D37</f>
        <v>0</v>
      </c>
      <c r="H37" s="5">
        <f>($A37-2004)/3*D37+(2010-$A37)/3*E37</f>
        <v>0</v>
      </c>
      <c r="I37" s="5">
        <f>($A37-1998)/6*F37+(2007-$A37)/6*G37</f>
        <v>0</v>
      </c>
      <c r="J37" s="5">
        <f>($A37-2001)/6*G37+(2010-$A37)/6*H37</f>
        <v>0</v>
      </c>
      <c r="K37" s="5">
        <f>($A37-1998)/9*I37+(2010-$A37)/9*J37</f>
        <v>0</v>
      </c>
    </row>
    <row r="38">
      <c r="A38" s="3" t="n">
        <v>1998</v>
      </c>
      <c r="B38" s="5">
        <f>IF(AND($A38&gt;=1998,$A38&lt;2001),1,0)</f>
        <v>1</v>
      </c>
      <c r="C38" s="5">
        <f>IF(AND($A38&gt;=2001,$A38&lt;2004),1,0)</f>
        <v>0</v>
      </c>
      <c r="D38" s="5">
        <f>IF(AND($A38&gt;=2004,$A38&lt;2007),1,0)</f>
        <v>0</v>
      </c>
      <c r="E38" s="5">
        <f>IF(AND($A38&gt;=2007,$A38&lt;2010),1,0)</f>
        <v>0</v>
      </c>
      <c r="F38" s="5">
        <f>($A38-1998)/3*B38+(2004-$A38)/3*C38</f>
        <v>0</v>
      </c>
      <c r="G38" s="5">
        <f>($A38-2001)/3*C38+(2007-$A38)/3*D38</f>
        <v>0</v>
      </c>
      <c r="H38" s="5">
        <f>($A38-2004)/3*D38+(2010-$A38)/3*E38</f>
        <v>0</v>
      </c>
      <c r="I38" s="5">
        <f>($A38-1998)/6*F38+(2007-$A38)/6*G38</f>
        <v>0</v>
      </c>
      <c r="J38" s="5">
        <f>($A38-2001)/6*G38+(2010-$A38)/6*H38</f>
        <v>0</v>
      </c>
      <c r="K38" s="5">
        <f>($A38-1998)/9*I38+(2010-$A38)/9*J38</f>
        <v>0</v>
      </c>
    </row>
    <row r="39">
      <c r="A39" s="3" t="n">
        <v>1999</v>
      </c>
      <c r="B39" s="5">
        <f>IF(AND($A39&gt;=1998,$A39&lt;2001),1,0)</f>
        <v>1</v>
      </c>
      <c r="C39" s="5">
        <f>IF(AND($A39&gt;=2001,$A39&lt;2004),1,0)</f>
        <v>0</v>
      </c>
      <c r="D39" s="5">
        <f>IF(AND($A39&gt;=2004,$A39&lt;2007),1,0)</f>
        <v>0</v>
      </c>
      <c r="E39" s="5">
        <f>IF(AND($A39&gt;=2007,$A39&lt;2010),1,0)</f>
        <v>0</v>
      </c>
      <c r="F39" s="5">
        <f>($A39-1998)/3*B39+(2004-$A39)/3*C39</f>
        <v>0.33333333333333298</v>
      </c>
      <c r="G39" s="5">
        <f>($A39-2001)/3*C39+(2007-$A39)/3*D39</f>
        <v>0</v>
      </c>
      <c r="H39" s="5">
        <f>($A39-2004)/3*D39+(2010-$A39)/3*E39</f>
        <v>0</v>
      </c>
      <c r="I39" s="5">
        <f>($A39-1998)/6*F39+(2007-$A39)/6*G39</f>
        <v>0.055555555555555601</v>
      </c>
      <c r="J39" s="5">
        <f>($A39-2001)/6*G39+(2010-$A39)/6*H39</f>
        <v>0</v>
      </c>
      <c r="K39" s="5">
        <f>($A39-1998)/9*I39+(2010-$A39)/9*J39</f>
        <v>0.00617283950617284</v>
      </c>
    </row>
    <row r="40">
      <c r="A40" s="3" t="n">
        <v>2000</v>
      </c>
      <c r="B40" s="5">
        <f>IF(AND($A40&gt;=1998,$A40&lt;2001),1,0)</f>
        <v>1</v>
      </c>
      <c r="C40" s="5">
        <f>IF(AND($A40&gt;=2001,$A40&lt;2004),1,0)</f>
        <v>0</v>
      </c>
      <c r="D40" s="5">
        <f>IF(AND($A40&gt;=2004,$A40&lt;2007),1,0)</f>
        <v>0</v>
      </c>
      <c r="E40" s="5">
        <f>IF(AND($A40&gt;=2007,$A40&lt;2010),1,0)</f>
        <v>0</v>
      </c>
      <c r="F40" s="5">
        <f>($A40-1998)/3*B40+(2004-$A40)/3*C40</f>
        <v>0.66666666666666696</v>
      </c>
      <c r="G40" s="5">
        <f>($A40-2001)/3*C40+(2007-$A40)/3*D40</f>
        <v>0</v>
      </c>
      <c r="H40" s="5">
        <f>($A40-2004)/3*D40+(2010-$A40)/3*E40</f>
        <v>0</v>
      </c>
      <c r="I40" s="5">
        <f>($A40-1998)/6*F40+(2007-$A40)/6*G40</f>
        <v>0.22222222222222199</v>
      </c>
      <c r="J40" s="5">
        <f>($A40-2001)/6*G40+(2010-$A40)/6*H40</f>
        <v>0</v>
      </c>
      <c r="K40" s="5">
        <f>($A40-1998)/9*I40+(2010-$A40)/9*J40</f>
        <v>0.049382716049382699</v>
      </c>
    </row>
    <row r="41">
      <c r="A41" s="3" t="n">
        <v>2001</v>
      </c>
      <c r="B41" s="5">
        <f>IF(AND($A41&gt;=1998,$A41&lt;2001),1,0)</f>
        <v>0</v>
      </c>
      <c r="C41" s="5">
        <f>IF(AND($A41&gt;=2001,$A41&lt;2004),1,0)</f>
        <v>1</v>
      </c>
      <c r="D41" s="5">
        <f>IF(AND($A41&gt;=2004,$A41&lt;2007),1,0)</f>
        <v>0</v>
      </c>
      <c r="E41" s="5">
        <f>IF(AND($A41&gt;=2007,$A41&lt;2010),1,0)</f>
        <v>0</v>
      </c>
      <c r="F41" s="5">
        <f>($A41-1998)/3*B41+(2004-$A41)/3*C41</f>
        <v>1</v>
      </c>
      <c r="G41" s="5">
        <f>($A41-2001)/3*C41+(2007-$A41)/3*D41</f>
        <v>0</v>
      </c>
      <c r="H41" s="5">
        <f>($A41-2004)/3*D41+(2010-$A41)/3*E41</f>
        <v>0</v>
      </c>
      <c r="I41" s="5">
        <f>($A41-1998)/6*F41+(2007-$A41)/6*G41</f>
        <v>0.5</v>
      </c>
      <c r="J41" s="5">
        <f>($A41-2001)/6*G41+(2010-$A41)/6*H41</f>
        <v>0</v>
      </c>
      <c r="K41" s="5">
        <f>($A41-1998)/9*I41+(2010-$A41)/9*J41</f>
        <v>0.16666666666666699</v>
      </c>
    </row>
    <row r="42">
      <c r="A42" s="3" t="n">
        <v>2002</v>
      </c>
      <c r="B42" s="5">
        <f>IF(AND($A42&gt;=1998,$A42&lt;2001),1,0)</f>
        <v>0</v>
      </c>
      <c r="C42" s="5">
        <f>IF(AND($A42&gt;=2001,$A42&lt;2004),1,0)</f>
        <v>1</v>
      </c>
      <c r="D42" s="5">
        <f>IF(AND($A42&gt;=2004,$A42&lt;2007),1,0)</f>
        <v>0</v>
      </c>
      <c r="E42" s="5">
        <f>IF(AND($A42&gt;=2007,$A42&lt;2010),1,0)</f>
        <v>0</v>
      </c>
      <c r="F42" s="5">
        <f>($A42-1998)/3*B42+(2004-$A42)/3*C42</f>
        <v>0.66666666666666696</v>
      </c>
      <c r="G42" s="5">
        <f>($A42-2001)/3*C42+(2007-$A42)/3*D42</f>
        <v>0.33333333333333298</v>
      </c>
      <c r="H42" s="5">
        <f>($A42-2004)/3*D42+(2010-$A42)/3*E42</f>
        <v>0</v>
      </c>
      <c r="I42" s="5">
        <f>($A42-1998)/6*F42+(2007-$A42)/6*G42</f>
        <v>0.72222222222222199</v>
      </c>
      <c r="J42" s="5">
        <f>($A42-2001)/6*G42+(2010-$A42)/6*H42</f>
        <v>0.055555555555555601</v>
      </c>
      <c r="K42" s="5">
        <f>($A42-1998)/9*I42+(2010-$A42)/9*J42</f>
        <v>0.37037037037037002</v>
      </c>
    </row>
    <row r="43">
      <c r="A43" s="3" t="n">
        <v>2003</v>
      </c>
      <c r="B43" s="5">
        <f>IF(AND($A43&gt;=1998,$A43&lt;2001),1,0)</f>
        <v>0</v>
      </c>
      <c r="C43" s="5">
        <f>IF(AND($A43&gt;=2001,$A43&lt;2004),1,0)</f>
        <v>1</v>
      </c>
      <c r="D43" s="5">
        <f>IF(AND($A43&gt;=2004,$A43&lt;2007),1,0)</f>
        <v>0</v>
      </c>
      <c r="E43" s="5">
        <f>IF(AND($A43&gt;=2007,$A43&lt;2010),1,0)</f>
        <v>0</v>
      </c>
      <c r="F43" s="5">
        <f>($A43-1998)/3*B43+(2004-$A43)/3*C43</f>
        <v>0.33333333333333298</v>
      </c>
      <c r="G43" s="5">
        <f>($A43-2001)/3*C43+(2007-$A43)/3*D43</f>
        <v>0.66666666666666696</v>
      </c>
      <c r="H43" s="5">
        <f>($A43-2004)/3*D43+(2010-$A43)/3*E43</f>
        <v>0</v>
      </c>
      <c r="I43" s="5">
        <f>($A43-1998)/6*F43+(2007-$A43)/6*G43</f>
        <v>0.72222222222222199</v>
      </c>
      <c r="J43" s="5">
        <f>($A43-2001)/6*G43+(2010-$A43)/6*H43</f>
        <v>0.22222222222222199</v>
      </c>
      <c r="K43" s="5">
        <f>($A43-1998)/9*I43+(2010-$A43)/9*J43</f>
        <v>0.57407407407407396</v>
      </c>
    </row>
    <row r="44">
      <c r="A44" s="3" t="n">
        <v>2004</v>
      </c>
      <c r="B44" s="5">
        <f>IF(AND($A44&gt;=1998,$A44&lt;2001),1,0)</f>
        <v>0</v>
      </c>
      <c r="C44" s="5">
        <f>IF(AND($A44&gt;=2001,$A44&lt;2004),1,0)</f>
        <v>0</v>
      </c>
      <c r="D44" s="5">
        <f>IF(AND($A44&gt;=2004,$A44&lt;2007),1,0)</f>
        <v>1</v>
      </c>
      <c r="E44" s="5">
        <f>IF(AND($A44&gt;=2007,$A44&lt;2010),1,0)</f>
        <v>0</v>
      </c>
      <c r="F44" s="5">
        <f>($A44-1998)/3*B44+(2004-$A44)/3*C44</f>
        <v>0</v>
      </c>
      <c r="G44" s="5">
        <f>($A44-2001)/3*C44+(2007-$A44)/3*D44</f>
        <v>1</v>
      </c>
      <c r="H44" s="5">
        <f>($A44-2004)/3*D44+(2010-$A44)/3*E44</f>
        <v>0</v>
      </c>
      <c r="I44" s="5">
        <f>($A44-1998)/6*F44+(2007-$A44)/6*G44</f>
        <v>0.5</v>
      </c>
      <c r="J44" s="5">
        <f>($A44-2001)/6*G44+(2010-$A44)/6*H44</f>
        <v>0.5</v>
      </c>
      <c r="K44" s="5">
        <f>($A44-1998)/9*I44+(2010-$A44)/9*J44</f>
        <v>0.66666666666666696</v>
      </c>
    </row>
    <row r="45">
      <c r="A45" s="3" t="n">
        <v>2005</v>
      </c>
      <c r="B45" s="5">
        <f>IF(AND($A45&gt;=1998,$A45&lt;2001),1,0)</f>
        <v>0</v>
      </c>
      <c r="C45" s="5">
        <f>IF(AND($A45&gt;=2001,$A45&lt;2004),1,0)</f>
        <v>0</v>
      </c>
      <c r="D45" s="5">
        <f>IF(AND($A45&gt;=2004,$A45&lt;2007),1,0)</f>
        <v>1</v>
      </c>
      <c r="E45" s="5">
        <f>IF(AND($A45&gt;=2007,$A45&lt;2010),1,0)</f>
        <v>0</v>
      </c>
      <c r="F45" s="5">
        <f>($A45-1998)/3*B45+(2004-$A45)/3*C45</f>
        <v>0</v>
      </c>
      <c r="G45" s="5">
        <f>($A45-2001)/3*C45+(2007-$A45)/3*D45</f>
        <v>0.66666666666666696</v>
      </c>
      <c r="H45" s="5">
        <f>($A45-2004)/3*D45+(2010-$A45)/3*E45</f>
        <v>0.33333333333333298</v>
      </c>
      <c r="I45" s="5">
        <f>($A45-1998)/6*F45+(2007-$A45)/6*G45</f>
        <v>0.22222222222222199</v>
      </c>
      <c r="J45" s="5">
        <f>($A45-2001)/6*G45+(2010-$A45)/6*H45</f>
        <v>0.72222222222222199</v>
      </c>
      <c r="K45" s="5">
        <f>($A45-1998)/9*I45+(2010-$A45)/9*J45</f>
        <v>0.57407407407407396</v>
      </c>
    </row>
    <row r="46">
      <c r="A46" s="3" t="n">
        <v>2006</v>
      </c>
      <c r="B46" s="5">
        <f>IF(AND($A46&gt;=1998,$A46&lt;2001),1,0)</f>
        <v>0</v>
      </c>
      <c r="C46" s="5">
        <f>IF(AND($A46&gt;=2001,$A46&lt;2004),1,0)</f>
        <v>0</v>
      </c>
      <c r="D46" s="5">
        <f>IF(AND($A46&gt;=2004,$A46&lt;2007),1,0)</f>
        <v>1</v>
      </c>
      <c r="E46" s="5">
        <f>IF(AND($A46&gt;=2007,$A46&lt;2010),1,0)</f>
        <v>0</v>
      </c>
      <c r="F46" s="5">
        <f>($A46-1998)/3*B46+(2004-$A46)/3*C46</f>
        <v>0</v>
      </c>
      <c r="G46" s="5">
        <f>($A46-2001)/3*C46+(2007-$A46)/3*D46</f>
        <v>0.33333333333333298</v>
      </c>
      <c r="H46" s="5">
        <f>($A46-2004)/3*D46+(2010-$A46)/3*E46</f>
        <v>0.66666666666666696</v>
      </c>
      <c r="I46" s="5">
        <f>($A46-1998)/6*F46+(2007-$A46)/6*G46</f>
        <v>0.055555555555555601</v>
      </c>
      <c r="J46" s="5">
        <f>($A46-2001)/6*G46+(2010-$A46)/6*H46</f>
        <v>0.72222222222222199</v>
      </c>
      <c r="K46" s="5">
        <f>($A46-1998)/9*I46+(2010-$A46)/9*J46</f>
        <v>0.37037037037037002</v>
      </c>
    </row>
    <row r="47">
      <c r="A47" s="3" t="n">
        <v>2007</v>
      </c>
      <c r="B47" s="5">
        <f>IF(AND($A47&gt;=1998,$A47&lt;2001),1,0)</f>
        <v>0</v>
      </c>
      <c r="C47" s="5">
        <f>IF(AND($A47&gt;=2001,$A47&lt;2004),1,0)</f>
        <v>0</v>
      </c>
      <c r="D47" s="5">
        <f>IF(AND($A47&gt;=2004,$A47&lt;2007),1,0)</f>
        <v>0</v>
      </c>
      <c r="E47" s="5">
        <f>IF(AND($A47&gt;=2007,$A47&lt;2010),1,0)</f>
        <v>1</v>
      </c>
      <c r="F47" s="5">
        <f>($A47-1998)/3*B47+(2004-$A47)/3*C47</f>
        <v>0</v>
      </c>
      <c r="G47" s="5">
        <f>($A47-2001)/3*C47+(2007-$A47)/3*D47</f>
        <v>0</v>
      </c>
      <c r="H47" s="5">
        <f>($A47-2004)/3*D47+(2010-$A47)/3*E47</f>
        <v>1</v>
      </c>
      <c r="I47" s="5">
        <f>($A47-1998)/6*F47+(2007-$A47)/6*G47</f>
        <v>0</v>
      </c>
      <c r="J47" s="5">
        <f>($A47-2001)/6*G47+(2010-$A47)/6*H47</f>
        <v>0.5</v>
      </c>
      <c r="K47" s="5">
        <f>($A47-1998)/9*I47+(2010-$A47)/9*J47</f>
        <v>0.16666666666666699</v>
      </c>
    </row>
    <row r="48">
      <c r="A48" s="3" t="n">
        <v>2008</v>
      </c>
      <c r="B48" s="5">
        <f>IF(AND($A48&gt;=1998,$A48&lt;2001),1,0)</f>
        <v>0</v>
      </c>
      <c r="C48" s="5">
        <f>IF(AND($A48&gt;=2001,$A48&lt;2004),1,0)</f>
        <v>0</v>
      </c>
      <c r="D48" s="5">
        <f>IF(AND($A48&gt;=2004,$A48&lt;2007),1,0)</f>
        <v>0</v>
      </c>
      <c r="E48" s="5">
        <f>IF(AND($A48&gt;=2007,$A48&lt;2010),1,0)</f>
        <v>1</v>
      </c>
      <c r="F48" s="5">
        <f>($A48-1998)/3*B48+(2004-$A48)/3*C48</f>
        <v>0</v>
      </c>
      <c r="G48" s="5">
        <f>($A48-2001)/3*C48+(2007-$A48)/3*D48</f>
        <v>0</v>
      </c>
      <c r="H48" s="5">
        <f>($A48-2004)/3*D48+(2010-$A48)/3*E48</f>
        <v>0.66666666666666696</v>
      </c>
      <c r="I48" s="5">
        <f>($A48-1998)/6*F48+(2007-$A48)/6*G48</f>
        <v>0</v>
      </c>
      <c r="J48" s="5">
        <f>($A48-2001)/6*G48+(2010-$A48)/6*H48</f>
        <v>0.22222222222222199</v>
      </c>
      <c r="K48" s="5">
        <f>($A48-1998)/9*I48+(2010-$A48)/9*J48</f>
        <v>0.049382716049382699</v>
      </c>
    </row>
    <row r="49">
      <c r="A49" s="3" t="n">
        <v>2009</v>
      </c>
      <c r="B49" s="5">
        <f>IF(AND($A49&gt;=1998,$A49&lt;2001),1,0)</f>
        <v>0</v>
      </c>
      <c r="C49" s="5">
        <f>IF(AND($A49&gt;=2001,$A49&lt;2004),1,0)</f>
        <v>0</v>
      </c>
      <c r="D49" s="5">
        <f>IF(AND($A49&gt;=2004,$A49&lt;2007),1,0)</f>
        <v>0</v>
      </c>
      <c r="E49" s="5">
        <f>IF(AND($A49&gt;=2007,$A49&lt;2010),1,0)</f>
        <v>1</v>
      </c>
      <c r="F49" s="5">
        <f>($A49-1998)/3*B49+(2004-$A49)/3*C49</f>
        <v>0</v>
      </c>
      <c r="G49" s="5">
        <f>($A49-2001)/3*C49+(2007-$A49)/3*D49</f>
        <v>0</v>
      </c>
      <c r="H49" s="5">
        <f>($A49-2004)/3*D49+(2010-$A49)/3*E49</f>
        <v>0.33333333333333298</v>
      </c>
      <c r="I49" s="5">
        <f>($A49-1998)/6*F49+(2007-$A49)/6*G49</f>
        <v>0</v>
      </c>
      <c r="J49" s="5">
        <f>($A49-2001)/6*G49+(2010-$A49)/6*H49</f>
        <v>0.055555555555555601</v>
      </c>
      <c r="K49" s="5">
        <f>($A49-1998)/9*I49+(2010-$A49)/9*J49</f>
        <v>0.00617283950617284</v>
      </c>
    </row>
    <row r="50">
      <c r="A50" s="3" t="n">
        <v>2010</v>
      </c>
      <c r="B50" s="5">
        <f>IF(AND($A50&gt;=1998,$A50&lt;2001),1,0)</f>
        <v>0</v>
      </c>
      <c r="C50" s="5">
        <f>IF(AND($A50&gt;=2001,$A50&lt;2004),1,0)</f>
        <v>0</v>
      </c>
      <c r="D50" s="5">
        <f>IF(AND($A50&gt;=2004,$A50&lt;2007),1,0)</f>
        <v>0</v>
      </c>
      <c r="E50" s="5">
        <f>IF(AND($A50&gt;=2007,$A50&lt;2010),1,0)</f>
        <v>0</v>
      </c>
      <c r="F50" s="5">
        <f>($A50-1998)/3*B50+(2004-$A50)/3*C50</f>
        <v>0</v>
      </c>
      <c r="G50" s="5">
        <f>($A50-2001)/3*C50+(2007-$A50)/3*D50</f>
        <v>0</v>
      </c>
      <c r="H50" s="5">
        <f>($A50-2004)/3*D50+(2010-$A50)/3*E50</f>
        <v>0</v>
      </c>
      <c r="I50" s="5">
        <f>($A50-1998)/6*F50+(2007-$A50)/6*G50</f>
        <v>0</v>
      </c>
      <c r="J50" s="5">
        <f>($A50-2001)/6*G50+(2010-$A50)/6*H50</f>
        <v>0</v>
      </c>
      <c r="K50" s="5">
        <f>($A50-1998)/9*I50+(2010-$A50)/9*J50</f>
        <v>0</v>
      </c>
    </row>
    <row r="51">
      <c r="A51" s="3" t="n">
        <v>2011</v>
      </c>
      <c r="B51" s="5">
        <f>IF(AND($A51&gt;=1998,$A51&lt;2001),1,0)</f>
        <v>0</v>
      </c>
      <c r="C51" s="5">
        <f>IF(AND($A51&gt;=2001,$A51&lt;2004),1,0)</f>
        <v>0</v>
      </c>
      <c r="D51" s="5">
        <f>IF(AND($A51&gt;=2004,$A51&lt;2007),1,0)</f>
        <v>0</v>
      </c>
      <c r="E51" s="5">
        <f>IF(AND($A51&gt;=2007,$A51&lt;2010),1,0)</f>
        <v>0</v>
      </c>
      <c r="F51" s="5">
        <f>($A51-1998)/3*B51+(2004-$A51)/3*C51</f>
        <v>0</v>
      </c>
      <c r="G51" s="5">
        <f>($A51-2001)/3*C51+(2007-$A51)/3*D51</f>
        <v>0</v>
      </c>
      <c r="H51" s="5">
        <f>($A51-2004)/3*D51+(2010-$A51)/3*E51</f>
        <v>0</v>
      </c>
      <c r="I51" s="5">
        <f>($A51-1998)/6*F51+(2007-$A51)/6*G51</f>
        <v>0</v>
      </c>
      <c r="J51" s="5">
        <f>($A51-2001)/6*G51+(2010-$A51)/6*H51</f>
        <v>0</v>
      </c>
      <c r="K51" s="5">
        <f>($A51-1998)/9*I51+(2010-$A51)/9*J51</f>
        <v>0</v>
      </c>
    </row>
    <row r="52">
      <c r="A52" s="3" t="n">
        <v>2012</v>
      </c>
      <c r="B52" s="5">
        <f>IF(AND($A52&gt;=1998,$A52&lt;2001),1,0)</f>
        <v>0</v>
      </c>
      <c r="C52" s="5">
        <f>IF(AND($A52&gt;=2001,$A52&lt;2004),1,0)</f>
        <v>0</v>
      </c>
      <c r="D52" s="5">
        <f>IF(AND($A52&gt;=2004,$A52&lt;2007),1,0)</f>
        <v>0</v>
      </c>
      <c r="E52" s="5">
        <f>IF(AND($A52&gt;=2007,$A52&lt;2010),1,0)</f>
        <v>0</v>
      </c>
      <c r="F52" s="5">
        <f>($A52-1998)/3*B52+(2004-$A52)/3*C52</f>
        <v>0</v>
      </c>
      <c r="G52" s="5">
        <f>($A52-2001)/3*C52+(2007-$A52)/3*D52</f>
        <v>0</v>
      </c>
      <c r="H52" s="5">
        <f>($A52-2004)/3*D52+(2010-$A52)/3*E52</f>
        <v>0</v>
      </c>
      <c r="I52" s="5">
        <f>($A52-1998)/6*F52+(2007-$A52)/6*G52</f>
        <v>0</v>
      </c>
      <c r="J52" s="5">
        <f>($A52-2001)/6*G52+(2010-$A52)/6*H52</f>
        <v>0</v>
      </c>
      <c r="K52" s="5">
        <f>($A52-1998)/9*I52+(2010-$A52)/9*J52</f>
        <v>0</v>
      </c>
    </row>
    <row r="53">
      <c r="A53" s="3" t="n">
        <v>2013</v>
      </c>
      <c r="B53" s="5">
        <f>IF(AND($A53&gt;=1998,$A53&lt;2001),1,0)</f>
        <v>0</v>
      </c>
      <c r="C53" s="5">
        <f>IF(AND($A53&gt;=2001,$A53&lt;2004),1,0)</f>
        <v>0</v>
      </c>
      <c r="D53" s="5">
        <f>IF(AND($A53&gt;=2004,$A53&lt;2007),1,0)</f>
        <v>0</v>
      </c>
      <c r="E53" s="5">
        <f>IF(AND($A53&gt;=2007,$A53&lt;2010),1,0)</f>
        <v>0</v>
      </c>
      <c r="F53" s="5">
        <f>($A53-1998)/3*B53+(2004-$A53)/3*C53</f>
        <v>0</v>
      </c>
      <c r="G53" s="5">
        <f>($A53-2001)/3*C53+(2007-$A53)/3*D53</f>
        <v>0</v>
      </c>
      <c r="H53" s="5">
        <f>($A53-2004)/3*D53+(2010-$A53)/3*E53</f>
        <v>0</v>
      </c>
      <c r="I53" s="5">
        <f>($A53-1998)/6*F53+(2007-$A53)/6*G53</f>
        <v>0</v>
      </c>
      <c r="J53" s="5">
        <f>($A53-2001)/6*G53+(2010-$A53)/6*H53</f>
        <v>0</v>
      </c>
      <c r="K53" s="5">
        <f>($A53-1998)/9*I53+(2010-$A53)/9*J53</f>
        <v>0</v>
      </c>
    </row>
  </sheetData>
  <mergeCells count="11">
    <mergeCell ref="A17:N17"/>
    <mergeCell ref="A9:N9"/>
    <mergeCell ref="A31:N31"/>
    <mergeCell ref="A3:N3"/>
    <mergeCell ref="A21:N21"/>
    <mergeCell ref="A15:N15"/>
    <mergeCell ref="A7:N7"/>
    <mergeCell ref="A19:N19"/>
    <mergeCell ref="A11:N11"/>
    <mergeCell ref="A5:N5"/>
    <mergeCell ref="A13:N13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P35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16" customWidth="1" min="9" max="9"/>
    <col width="16" customWidth="1" min="10" max="10"/>
    <col width="16" customWidth="1" min="11" max="11"/>
    <col width="22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Question 2 — workbook guide and instructor correction</t>
        </is>
      </c>
    </row>
    <row r="2" ht="42" customHeight="1">
      <c r="A2" s="2" t="inlineStr">
        <is>
          <t>Original sheets M_70_t and Sheet1 are preserved. Source: uploaded M_70_t.xlsx. Added sheets contain all Q2 calculations. Input rates have units of deaths per person-year; coefficients describe natural-log mortality; the B-spline basis is dimensionless.</t>
        </is>
      </c>
    </row>
    <row r="3"/>
    <row r="4" ht="42" customHeight="1">
      <c r="A4" s="2" t="inlineStr">
        <is>
          <t>Instructor correction supplied by the user: treat (b) and (c) independently. For (c), refit both M1 and M2 using M_70_t data and refer to age 70 in the discussion, although the instructor states the spreadsheet rates actually belong to age 25.</t>
        </is>
      </c>
    </row>
    <row r="5"/>
    <row r="6" ht="32" customHeight="1">
      <c r="A6" s="11" t="inlineStr">
        <is>
          <t>Part (b) inputs from assignment PDF (independent of spreadsheet observations)</t>
        </is>
      </c>
    </row>
    <row r="7" ht="32" customHeight="1">
      <c r="A7" s="12" t="inlineStr">
        <is>
          <t>Year</t>
        </is>
      </c>
      <c r="B7" s="12" t="inlineStr">
        <is>
          <t>Central death rate</t>
        </is>
      </c>
    </row>
    <row r="8">
      <c r="A8" s="3" t="n">
        <v>1995</v>
      </c>
      <c r="B8" s="3" t="n">
        <v>0.0235</v>
      </c>
    </row>
    <row r="9">
      <c r="A9" s="3" t="n">
        <v>1998</v>
      </c>
      <c r="B9" s="3" t="n">
        <v>0.0207</v>
      </c>
    </row>
    <row r="10">
      <c r="A10" s="3" t="n">
        <v>2001</v>
      </c>
      <c r="B10" s="3" t="n">
        <v>0.0183</v>
      </c>
    </row>
    <row r="11">
      <c r="A11" s="3" t="n">
        <v>2004</v>
      </c>
      <c r="B11" s="3" t="n">
        <v>0.0166</v>
      </c>
    </row>
    <row r="12"/>
    <row r="13" ht="42" customHeight="1">
      <c r="A13" s="2" t="inlineStr">
        <is>
          <t>Part (b) uses exactly the four rates above: no interpolation of missing annual observations and no use of M_70_t data in estimation. Annual fitted values are model evaluations, not invented observations.</t>
        </is>
      </c>
    </row>
    <row r="14"/>
    <row r="15" ht="42" customHeight="1">
      <c r="A15" s="2" t="inlineStr">
        <is>
          <t>Part (c) uses M_70_t!A2:B11 (1995–2004) to estimate both models. Rows A12:B26 (2005–2019) are retained as out-of-sample observations for plotting only; they do not enter SSE or the normal equations.</t>
        </is>
      </c>
    </row>
    <row r="16"/>
    <row r="17" ht="42" customHeight="1">
      <c r="A17" s="2" t="inlineStr">
        <is>
          <t>Week 11 layout: Q2(a)_Derivation contains recursion/support. Q2(b)_M1, Q2(c)_M1 and Q2(c)_M2 contain fitting/Solver tables. Each has a separate Forecast sheet; Q2(c)_Comparison contains the combined plot and answers.</t>
        </is>
      </c>
    </row>
    <row r="18"/>
    <row r="19" ht="42" customHeight="1">
      <c r="A19" s="2" t="inlineStr">
        <is>
          <t>No extra objective, nonnegativity constraint, automatic smoothing selection is used. As confirmed by the user, LN(m) is the response, following Unit 4 pp.79–80 and Week11_Q1sol.xlsx; EXP converts fitted log rates back to mortality. lambda=1 and the second-order coefficient penalty are applied exactly as L=SSE+(lambda/2)*Penalty.</t>
        </is>
      </c>
    </row>
    <row r="20"/>
    <row r="21" ht="42" customHeight="1">
      <c r="A21" s="2" t="inlineStr">
        <is>
          <t>Method reference: assignment Q2 Cox–de Boor construction and coefficient second-difference projection. The zero-second-difference forecast continues the final coefficient slope. Cross-checked against Unit 4 pp.63–64,79–81 and Week11_Q1sol.xlsx. Unit 4 p.88 uses a third-order example; this assignment specifies second order, so the Week 11 second-order extension is used.</t>
        </is>
      </c>
    </row>
    <row r="22"/>
    <row r="23" ht="32" customHeight="1"/>
    <row r="24"/>
    <row r="25">
      <c r="A25" s="3" t="inlineStr">
        <is>
          <t>Year</t>
        </is>
      </c>
      <c r="B25" s="3" t="inlineStr">
        <is>
          <t>Part (b) M1 projection</t>
        </is>
      </c>
    </row>
    <row r="26">
      <c r="A26" s="3" t="n">
        <v>2007</v>
      </c>
      <c r="B26" s="5">
        <f>'Q2(b)_Forecast'!I19</f>
        <v>0.014826547317972</v>
      </c>
    </row>
    <row r="27">
      <c r="A27" s="3" t="n">
        <v>2010</v>
      </c>
      <c r="B27" s="5">
        <f>'Q2(b)_Forecast'!I22</f>
        <v>0.0133169935182653</v>
      </c>
    </row>
    <row r="28">
      <c r="A28" s="3" t="n">
        <v>2013</v>
      </c>
      <c r="B28" s="5">
        <f>'Q2(b)_Forecast'!I25</f>
        <v>0.0119611338069621</v>
      </c>
    </row>
    <row r="29">
      <c r="A29" s="3" t="n">
        <v>2016</v>
      </c>
      <c r="B29" s="5">
        <f>'Q2(b)_Forecast'!I28</f>
        <v>0.0107433199356764</v>
      </c>
    </row>
    <row r="30">
      <c r="A30" s="3" t="n">
        <v>2019</v>
      </c>
      <c r="B30" s="5">
        <f>'Q2(b)_Forecast'!I31</f>
        <v>0.0096494968706997402</v>
      </c>
    </row>
    <row r="31"/>
    <row r="32"/>
    <row r="33" ht="36" customHeight="1">
      <c r="A33" s="2" t="inlineStr">
        <is>
          <t>This version follows Week11_Q1sol.xlsx: numeric theta decision cells, SUMPRODUCT fitted LN(m), first/second differences, separate SSE and unweighted penalty, L=SSE+lambda/2*Penalty, and explicit coefficient forecasts. Matrix inversion has been removed from the fitting worksheets.</t>
        </is>
      </c>
    </row>
    <row r="34"/>
    <row r="35" ht="36" customHeight="1">
      <c r="A35" s="2" t="inlineStr">
        <is>
          <t>To rerun: open the desired fitting sheet, Data &gt; Solver. Set B34 to Min, changing the theta row B24 onward; GRG Nonlinear; no constraints; disable nonnegative variables. Existing theta cells are numeric, so no paste-values step is required.</t>
        </is>
      </c>
    </row>
  </sheetData>
  <mergeCells count="9">
    <mergeCell ref="A17:N17"/>
    <mergeCell ref="A4:N4"/>
    <mergeCell ref="A21:N21"/>
    <mergeCell ref="A2:N2"/>
    <mergeCell ref="A15:N15"/>
    <mergeCell ref="A35:P35"/>
    <mergeCell ref="A19:N19"/>
    <mergeCell ref="A13:N13"/>
    <mergeCell ref="A33:P33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</cols>
  <sheetData>
    <row r="1">
      <c r="A1" s="13" t="inlineStr">
        <is>
          <t>Q2(b)_M1 — Week 11 fitting layout</t>
        </is>
      </c>
    </row>
    <row r="2" ht="36" customHeight="1">
      <c r="A2" s="2" t="inlineStr">
        <is>
          <t>Fourth-order B-splines; fit LN(m). Coefficients are numeric Solver decision cells, as in Week11_Q1sol.xlsx. All basis functions, fitted values, differences, errors and objective calculations are Excel formulas.</t>
        </is>
      </c>
    </row>
    <row r="3" ht="36" customHeight="1">
      <c r="A3" s="2" t="inlineStr">
        <is>
          <t>Part (b) uses only the four assignment observations. Part (c) refits M1 and M2 independently on M_70_t observations for 1995–2004, following the instructor correction.</t>
        </is>
      </c>
    </row>
    <row r="4"/>
    <row r="5"/>
    <row r="6" ht="32" customHeight="1">
      <c r="D6" s="14" t="n">
        <v>1986</v>
      </c>
      <c r="E6" s="14" t="n">
        <v>1989</v>
      </c>
      <c r="F6" s="14" t="n">
        <v>1992</v>
      </c>
      <c r="G6" s="14" t="n">
        <v>1995</v>
      </c>
      <c r="H6" s="14" t="n">
        <v>1998</v>
      </c>
      <c r="I6" s="14" t="n">
        <v>2001</v>
      </c>
    </row>
    <row r="7" ht="32" customHeight="1">
      <c r="A7" s="14" t="inlineStr">
        <is>
          <t>Year</t>
        </is>
      </c>
      <c r="B7" s="14" t="inlineStr">
        <is>
          <t>Observed mortality m</t>
        </is>
      </c>
      <c r="C7" s="14" t="inlineStr">
        <is>
          <t>LN(m)</t>
        </is>
      </c>
      <c r="D7" s="14" t="inlineStr">
        <is>
          <t>B_1986,4(t)</t>
        </is>
      </c>
      <c r="E7" s="14" t="inlineStr">
        <is>
          <t>B_1989,4(t)</t>
        </is>
      </c>
      <c r="F7" s="14" t="inlineStr">
        <is>
          <t>B_1992,4(t)</t>
        </is>
      </c>
      <c r="G7" s="14" t="inlineStr">
        <is>
          <t>B_1995,4(t)</t>
        </is>
      </c>
      <c r="H7" s="14" t="inlineStr">
        <is>
          <t>B_1998,4(t)</t>
        </is>
      </c>
      <c r="I7" s="14" t="inlineStr">
        <is>
          <t>B_2001,4(t)</t>
        </is>
      </c>
      <c r="J7" s="14" t="inlineStr">
        <is>
          <t>Fitted LN(m)</t>
        </is>
      </c>
      <c r="K7" s="14" t="inlineStr">
        <is>
          <t>Log residual</t>
        </is>
      </c>
      <c r="L7" s="14" t="inlineStr">
        <is>
          <t>Squared log error</t>
        </is>
      </c>
    </row>
    <row r="8">
      <c r="A8" s="15" t="n">
        <v>1995</v>
      </c>
      <c r="B8" s="16">
        <f>'Q2_ReadMe'!B8</f>
        <v>0.0235</v>
      </c>
      <c r="C8" s="16">
        <f>LN(B8)</f>
        <v>-3.7507548578320198</v>
      </c>
      <c r="D8" s="16">
        <f>IF($A8&lt;=1986,0,IF($A8&lt;=1989,(($A8-1986)/3)^3/6,IF($A8&lt;=1992,2/3-((($A8-1986)/3)-2)^2-0.5*((($A8-1986)/3)-2)^3,IF($A8&lt;=1995,2/3-((($A8-1986)/3)-2)^2+0.5*((($A8-1986)/3)-2)^3,IF($A8&lt;=1998,(4-(($A8-1986)/3))^3/6,0)))))</f>
        <v>0.16666666666666699</v>
      </c>
      <c r="E8" s="16">
        <f>IF($A8&lt;=1989,0,IF($A8&lt;=1992,(($A8-1989)/3)^3/6,IF($A8&lt;=1995,2/3-((($A8-1989)/3)-2)^2-0.5*((($A8-1989)/3)-2)^3,IF($A8&lt;=1998,2/3-((($A8-1989)/3)-2)^2+0.5*((($A8-1989)/3)-2)^3,IF($A8&lt;=2001,(4-(($A8-1989)/3))^3/6,0)))))</f>
        <v>0.66666666666666696</v>
      </c>
      <c r="F8" s="16">
        <f>IF($A8&lt;=1992,0,IF($A8&lt;=1995,(($A8-1992)/3)^3/6,IF($A8&lt;=1998,2/3-((($A8-1992)/3)-2)^2-0.5*((($A8-1992)/3)-2)^3,IF($A8&lt;=2001,2/3-((($A8-1992)/3)-2)^2+0.5*((($A8-1992)/3)-2)^3,IF($A8&lt;=2004,(4-(($A8-1992)/3))^3/6,0)))))</f>
        <v>0.16666666666666699</v>
      </c>
      <c r="G8" s="16">
        <f>IF($A8&lt;=1995,0,IF($A8&lt;=1998,(($A8-1995)/3)^3/6,IF($A8&lt;=2001,2/3-((($A8-1995)/3)-2)^2-0.5*((($A8-1995)/3)-2)^3,IF($A8&lt;=2004,2/3-((($A8-1995)/3)-2)^2+0.5*((($A8-1995)/3)-2)^3,IF($A8&lt;=2007,(4-(($A8-1995)/3))^3/6,0)))))</f>
        <v>0</v>
      </c>
      <c r="H8" s="16">
        <f>IF($A8&lt;=1998,0,IF($A8&lt;=2001,(($A8-1998)/3)^3/6,IF($A8&lt;=2004,2/3-((($A8-1998)/3)-2)^2-0.5*((($A8-1998)/3)-2)^3,IF($A8&lt;=2007,2/3-((($A8-1998)/3)-2)^2+0.5*((($A8-1998)/3)-2)^3,IF($A8&lt;=2010,(4-(($A8-1998)/3))^3/6,0)))))</f>
        <v>0</v>
      </c>
      <c r="I8" s="16">
        <f>IF($A8&lt;=2001,0,IF($A8&lt;=2004,(($A8-2001)/3)^3/6,IF($A8&lt;=2007,2/3-((($A8-2001)/3)-2)^2-0.5*((($A8-2001)/3)-2)^3,IF($A8&lt;=2010,2/3-((($A8-2001)/3)-2)^2+0.5*((($A8-2001)/3)-2)^3,IF($A8&lt;=2013,(4-(($A8-2001)/3))^3/6,0)))))</f>
        <v>0</v>
      </c>
      <c r="J8" s="16">
        <f>SUMPRODUCT(D8:I8,$B$24:$G$24)</f>
        <v>-3.7539711549757802</v>
      </c>
      <c r="K8" s="16">
        <f>C8-J8</f>
        <v>0.0032162971437514898</v>
      </c>
      <c r="L8" s="16">
        <f>K8^2</f>
        <v>1.0344567316904e-05</v>
      </c>
    </row>
    <row r="9">
      <c r="A9" s="15" t="n">
        <v>1998</v>
      </c>
      <c r="B9" s="16">
        <f>'Q2_ReadMe'!B9</f>
        <v>0.0207</v>
      </c>
      <c r="C9" s="16">
        <f>LN(B9)</f>
        <v>-3.8776215787108099</v>
      </c>
      <c r="D9" s="16">
        <f>IF($A9&lt;=1986,0,IF($A9&lt;=1989,(($A9-1986)/3)^3/6,IF($A9&lt;=1992,2/3-((($A9-1986)/3)-2)^2-0.5*((($A9-1986)/3)-2)^3,IF($A9&lt;=1995,2/3-((($A9-1986)/3)-2)^2+0.5*((($A9-1986)/3)-2)^3,IF($A9&lt;=1998,(4-(($A9-1986)/3))^3/6,0)))))</f>
        <v>0</v>
      </c>
      <c r="E9" s="16">
        <f>IF($A9&lt;=1989,0,IF($A9&lt;=1992,(($A9-1989)/3)^3/6,IF($A9&lt;=1995,2/3-((($A9-1989)/3)-2)^2-0.5*((($A9-1989)/3)-2)^3,IF($A9&lt;=1998,2/3-((($A9-1989)/3)-2)^2+0.5*((($A9-1989)/3)-2)^3,IF($A9&lt;=2001,(4-(($A9-1989)/3))^3/6,0)))))</f>
        <v>0.16666666666666699</v>
      </c>
      <c r="F9" s="16">
        <f>IF($A9&lt;=1992,0,IF($A9&lt;=1995,(($A9-1992)/3)^3/6,IF($A9&lt;=1998,2/3-((($A9-1992)/3)-2)^2-0.5*((($A9-1992)/3)-2)^3,IF($A9&lt;=2001,2/3-((($A9-1992)/3)-2)^2+0.5*((($A9-1992)/3)-2)^3,IF($A9&lt;=2004,(4-(($A9-1992)/3))^3/6,0)))))</f>
        <v>0.66666666666666696</v>
      </c>
      <c r="G9" s="16">
        <f>IF($A9&lt;=1995,0,IF($A9&lt;=1998,(($A9-1995)/3)^3/6,IF($A9&lt;=2001,2/3-((($A9-1995)/3)-2)^2-0.5*((($A9-1995)/3)-2)^3,IF($A9&lt;=2004,2/3-((($A9-1995)/3)-2)^2+0.5*((($A9-1995)/3)-2)^3,IF($A9&lt;=2007,(4-(($A9-1995)/3))^3/6,0)))))</f>
        <v>0.16666666666666699</v>
      </c>
      <c r="H9" s="16">
        <f>IF($A9&lt;=1998,0,IF($A9&lt;=2001,(($A9-1998)/3)^3/6,IF($A9&lt;=2004,2/3-((($A9-1998)/3)-2)^2-0.5*((($A9-1998)/3)-2)^3,IF($A9&lt;=2007,2/3-((($A9-1998)/3)-2)^2+0.5*((($A9-1998)/3)-2)^3,IF($A9&lt;=2010,(4-(($A9-1998)/3))^3/6,0)))))</f>
        <v>0</v>
      </c>
      <c r="I9" s="16">
        <f>IF($A9&lt;=2001,0,IF($A9&lt;=2004,(($A9-2001)/3)^3/6,IF($A9&lt;=2007,2/3-((($A9-2001)/3)-2)^2-0.5*((($A9-2001)/3)-2)^3,IF($A9&lt;=2010,2/3-((($A9-2001)/3)-2)^2+0.5*((($A9-2001)/3)-2)^3,IF($A9&lt;=2013,(4-(($A9-2001)/3))^3/6,0)))))</f>
        <v>0</v>
      </c>
      <c r="J9" s="16">
        <f>SUMPRODUCT(D9:I9,$B$24:$G$24)</f>
        <v>-3.8764989842971498</v>
      </c>
      <c r="K9" s="16">
        <f>C9-J9</f>
        <v>-0.00112259441366636</v>
      </c>
      <c r="L9" s="16">
        <f>K9^2</f>
        <v>1.2602182175949099e-06</v>
      </c>
    </row>
    <row r="10">
      <c r="A10" s="15" t="n">
        <v>2001</v>
      </c>
      <c r="B10" s="16">
        <f>'Q2_ReadMe'!B10</f>
        <v>0.0183</v>
      </c>
      <c r="C10" s="16">
        <f>LN(B10)</f>
        <v>-4.0008542191347596</v>
      </c>
      <c r="D10" s="16">
        <f>IF($A10&lt;=1986,0,IF($A10&lt;=1989,(($A10-1986)/3)^3/6,IF($A10&lt;=1992,2/3-((($A10-1986)/3)-2)^2-0.5*((($A10-1986)/3)-2)^3,IF($A10&lt;=1995,2/3-((($A10-1986)/3)-2)^2+0.5*((($A10-1986)/3)-2)^3,IF($A10&lt;=1998,(4-(($A10-1986)/3))^3/6,0)))))</f>
        <v>0</v>
      </c>
      <c r="E10" s="16">
        <f>IF($A10&lt;=1989,0,IF($A10&lt;=1992,(($A10-1989)/3)^3/6,IF($A10&lt;=1995,2/3-((($A10-1989)/3)-2)^2-0.5*((($A10-1989)/3)-2)^3,IF($A10&lt;=1998,2/3-((($A10-1989)/3)-2)^2+0.5*((($A10-1989)/3)-2)^3,IF($A10&lt;=2001,(4-(($A10-1989)/3))^3/6,0)))))</f>
        <v>0</v>
      </c>
      <c r="F10" s="16">
        <f>IF($A10&lt;=1992,0,IF($A10&lt;=1995,(($A10-1992)/3)^3/6,IF($A10&lt;=1998,2/3-((($A10-1992)/3)-2)^2-0.5*((($A10-1992)/3)-2)^3,IF($A10&lt;=2001,2/3-((($A10-1992)/3)-2)^2+0.5*((($A10-1992)/3)-2)^3,IF($A10&lt;=2004,(4-(($A10-1992)/3))^3/6,0)))))</f>
        <v>0.16666666666666699</v>
      </c>
      <c r="G10" s="16">
        <f>IF($A10&lt;=1995,0,IF($A10&lt;=1998,(($A10-1995)/3)^3/6,IF($A10&lt;=2001,2/3-((($A10-1995)/3)-2)^2-0.5*((($A10-1995)/3)-2)^3,IF($A10&lt;=2004,2/3-((($A10-1995)/3)-2)^2+0.5*((($A10-1995)/3)-2)^3,IF($A10&lt;=2007,(4-(($A10-1995)/3))^3/6,0)))))</f>
        <v>0.66666666666666696</v>
      </c>
      <c r="H10" s="16">
        <f>IF($A10&lt;=1998,0,IF($A10&lt;=2001,(($A10-1998)/3)^3/6,IF($A10&lt;=2004,2/3-((($A10-1998)/3)-2)^2-0.5*((($A10-1998)/3)-2)^3,IF($A10&lt;=2007,2/3-((($A10-1998)/3)-2)^2+0.5*((($A10-1998)/3)-2)^3,IF($A10&lt;=2010,(4-(($A10-1998)/3))^3/6,0)))))</f>
        <v>0.16666666666666699</v>
      </c>
      <c r="I10" s="16">
        <f>IF($A10&lt;=2001,0,IF($A10&lt;=2004,(($A10-2001)/3)^3/6,IF($A10&lt;=2007,2/3-((($A10-2001)/3)-2)^2-0.5*((($A10-2001)/3)-2)^3,IF($A10&lt;=2010,2/3-((($A10-2001)/3)-2)^2+0.5*((($A10-2001)/3)-2)^3,IF($A10&lt;=2013,(4-(($A10-2001)/3))^3/6,0)))))</f>
        <v>0</v>
      </c>
      <c r="J10" s="16">
        <f>SUMPRODUCT(D10:I10,$B$24:$G$24)</f>
        <v>-3.99345051653084</v>
      </c>
      <c r="K10" s="16">
        <f>C10-J10</f>
        <v>-0.0074037026039208698</v>
      </c>
      <c r="L10" s="16">
        <f>K10^2</f>
        <v>5.4814812247304701e-05</v>
      </c>
    </row>
    <row r="11">
      <c r="A11" s="15" t="n">
        <v>2004</v>
      </c>
      <c r="B11" s="16">
        <f>'Q2_ReadMe'!B11</f>
        <v>0.0166</v>
      </c>
      <c r="C11" s="16">
        <f>LN(B11)</f>
        <v>-4.0983525836196399</v>
      </c>
      <c r="D11" s="16">
        <f>IF($A11&lt;=1986,0,IF($A11&lt;=1989,(($A11-1986)/3)^3/6,IF($A11&lt;=1992,2/3-((($A11-1986)/3)-2)^2-0.5*((($A11-1986)/3)-2)^3,IF($A11&lt;=1995,2/3-((($A11-1986)/3)-2)^2+0.5*((($A11-1986)/3)-2)^3,IF($A11&lt;=1998,(4-(($A11-1986)/3))^3/6,0)))))</f>
        <v>0</v>
      </c>
      <c r="E11" s="16">
        <f>IF($A11&lt;=1989,0,IF($A11&lt;=1992,(($A11-1989)/3)^3/6,IF($A11&lt;=1995,2/3-((($A11-1989)/3)-2)^2-0.5*((($A11-1989)/3)-2)^3,IF($A11&lt;=1998,2/3-((($A11-1989)/3)-2)^2+0.5*((($A11-1989)/3)-2)^3,IF($A11&lt;=2001,(4-(($A11-1989)/3))^3/6,0)))))</f>
        <v>0</v>
      </c>
      <c r="F11" s="16">
        <f>IF($A11&lt;=1992,0,IF($A11&lt;=1995,(($A11-1992)/3)^3/6,IF($A11&lt;=1998,2/3-((($A11-1992)/3)-2)^2-0.5*((($A11-1992)/3)-2)^3,IF($A11&lt;=2001,2/3-((($A11-1992)/3)-2)^2+0.5*((($A11-1992)/3)-2)^3,IF($A11&lt;=2004,(4-(($A11-1992)/3))^3/6,0)))))</f>
        <v>0</v>
      </c>
      <c r="G11" s="16">
        <f>IF($A11&lt;=1995,0,IF($A11&lt;=1998,(($A11-1995)/3)^3/6,IF($A11&lt;=2001,2/3-((($A11-1995)/3)-2)^2-0.5*((($A11-1995)/3)-2)^3,IF($A11&lt;=2004,2/3-((($A11-1995)/3)-2)^2+0.5*((($A11-1995)/3)-2)^3,IF($A11&lt;=2007,(4-(($A11-1995)/3))^3/6,0)))))</f>
        <v>0.16666666666666699</v>
      </c>
      <c r="H11" s="16">
        <f>IF($A11&lt;=1998,0,IF($A11&lt;=2001,(($A11-1998)/3)^3/6,IF($A11&lt;=2004,2/3-((($A11-1998)/3)-2)^2-0.5*((($A11-1998)/3)-2)^3,IF($A11&lt;=2007,2/3-((($A11-1998)/3)-2)^2+0.5*((($A11-1998)/3)-2)^3,IF($A11&lt;=2010,(4-(($A11-1998)/3))^3/6,0)))))</f>
        <v>0.66666666666666696</v>
      </c>
      <c r="I11" s="16">
        <f>IF($A11&lt;=2001,0,IF($A11&lt;=2004,(($A11-2001)/3)^3/6,IF($A11&lt;=2007,2/3-((($A11-2001)/3)-2)^2-0.5*((($A11-2001)/3)-2)^3,IF($A11&lt;=2010,2/3-((($A11-2001)/3)-2)^2+0.5*((($A11-2001)/3)-2)^3,IF($A11&lt;=2013,(4-(($A11-2001)/3))^3/6,0)))))</f>
        <v>0.16666666666666699</v>
      </c>
      <c r="J11" s="16">
        <f>SUMPRODUCT(D11:I11,$B$24:$G$24)</f>
        <v>-4.1036625834934801</v>
      </c>
      <c r="K11" s="16">
        <f>C11-J11</f>
        <v>0.0053099998738366204</v>
      </c>
      <c r="L11" s="16">
        <f>K11^2</f>
        <v>2.8196098660145001e-05</v>
      </c>
    </row>
    <row r="12"/>
    <row r="13"/>
    <row r="14"/>
    <row r="15"/>
    <row r="16"/>
    <row r="17"/>
    <row r="18"/>
    <row r="19"/>
    <row r="20"/>
    <row r="21"/>
    <row r="22"/>
    <row r="23" ht="32" customHeight="1">
      <c r="A23" s="14" t="inlineStr">
        <is>
          <t>Coefficient knot year</t>
        </is>
      </c>
      <c r="B23" s="14" t="n">
        <v>1986</v>
      </c>
      <c r="C23" s="14" t="n">
        <v>1989</v>
      </c>
      <c r="D23" s="14" t="n">
        <v>1992</v>
      </c>
      <c r="E23" s="14" t="n">
        <v>1995</v>
      </c>
      <c r="F23" s="14" t="n">
        <v>1998</v>
      </c>
      <c r="G23" s="14" t="n">
        <v>2001</v>
      </c>
    </row>
    <row r="24">
      <c r="A24" s="15" t="inlineStr">
        <is>
          <t>theta (Solver values)</t>
        </is>
      </c>
      <c r="B24" s="17" t="n">
        <v>-3.62971886026419</v>
      </c>
      <c r="C24" s="17" t="n">
        <v>-3.754149838150428</v>
      </c>
      <c r="D24" s="17" t="n">
        <v>-3.877508716988749</v>
      </c>
      <c r="E24" s="17" t="n">
        <v>-3.994809199677457</v>
      </c>
      <c r="F24" s="17" t="n">
        <v>-4.103957583486467</v>
      </c>
      <c r="G24" s="17" t="n">
        <v>-4.21133596733753</v>
      </c>
    </row>
    <row r="25">
      <c r="A25" s="15" t="inlineStr">
        <is>
          <t>First difference</t>
        </is>
      </c>
      <c r="B25" s="16">
        <f>C24-B24</f>
        <v>-0.124430977886238</v>
      </c>
      <c r="C25" s="16">
        <f>D24-C24</f>
        <v>-0.123358878838321</v>
      </c>
      <c r="D25" s="16">
        <f>E24-D24</f>
        <v>-0.117300482688708</v>
      </c>
      <c r="E25" s="16">
        <f>F24-E24</f>
        <v>-0.109148383809009</v>
      </c>
      <c r="F25" s="16">
        <f>G24-F24</f>
        <v>-0.107378383851064</v>
      </c>
    </row>
    <row r="26">
      <c r="A26" s="15" t="inlineStr">
        <is>
          <t>Second difference</t>
        </is>
      </c>
      <c r="B26" s="16">
        <f>C25-B25</f>
        <v>0.00107209904791716</v>
      </c>
      <c r="C26" s="16">
        <f>D25-C25</f>
        <v>0.0060583961496134498</v>
      </c>
      <c r="D26" s="16">
        <f>E25-D25</f>
        <v>0.00815209887969859</v>
      </c>
      <c r="E26" s="16">
        <f>F25-E25</f>
        <v>0.00176999995794569</v>
      </c>
    </row>
    <row r="27">
      <c r="A27" s="15" t="inlineStr">
        <is>
          <t>Squared second difference</t>
        </is>
      </c>
      <c r="B27" s="16">
        <f>B26^2</f>
        <v>1.1493963685448901e-06</v>
      </c>
      <c r="C27" s="16">
        <f>C26^2</f>
        <v>3.6704163905651102e-05</v>
      </c>
      <c r="D27" s="16">
        <f>D26^2</f>
        <v>6.6456716144383001e-05</v>
      </c>
      <c r="E27" s="16">
        <f>E26^2</f>
        <v>3.1328998511277399e-06</v>
      </c>
    </row>
    <row r="28"/>
    <row r="29"/>
    <row r="30"/>
    <row r="31">
      <c r="A31" s="15" t="inlineStr">
        <is>
          <t>Total SSE</t>
        </is>
      </c>
      <c r="B31" s="16">
        <f>SUM(L8:L11)</f>
        <v>9.4615696441948505e-05</v>
      </c>
    </row>
    <row r="32">
      <c r="A32" s="15" t="inlineStr">
        <is>
          <t>Penalty (unweighted)</t>
        </is>
      </c>
      <c r="B32" s="16">
        <f>SUM(B27:E27)</f>
        <v>0.000107443176269709</v>
      </c>
    </row>
    <row r="33">
      <c r="A33" s="15" t="inlineStr">
        <is>
          <t>lambda</t>
        </is>
      </c>
      <c r="B33" s="15" t="n">
        <v>1</v>
      </c>
    </row>
    <row r="34">
      <c r="A34" s="15" t="inlineStr">
        <is>
          <t>Objective L</t>
        </is>
      </c>
      <c r="B34" s="16">
        <f>B31+B33/2*B32</f>
        <v>0.000148337284576803</v>
      </c>
    </row>
    <row r="35"/>
    <row r="36"/>
    <row r="37" ht="36" customHeight="1">
      <c r="A37" s="2" t="inlineStr">
        <is>
          <t>Solver: minimise $B$34 by changing $B$24:$G$24. Method: GRG Nonlinear; no constraints; disable nonnegative-variable option; enable automatic scaling. lambda=$B$33=1. Decision cells already contain the fitted coefficient values and can be rerun directly.</t>
        </is>
      </c>
    </row>
    <row r="38"/>
    <row r="39" ht="36" customHeight="1">
      <c r="A39" s="2" t="inlineStr">
        <is>
          <t>The numeric coefficient values were obtained by numerical minimisation of the displayed objective and checked against its normal equations. Microsoft Excel Solver was not executed in this environment; its reproducible settings are saved in this sheet.</t>
        </is>
      </c>
    </row>
    <row r="40"/>
    <row r="41" ht="36" customHeight="1">
      <c r="A41" s="2" t="inlineStr">
        <is>
          <t>Forecast worksheet: Q2(b)_Forecast. Forward coefficient differences are computed exactly as in Week 11, using h=3 year(s); projected second differences are zero. No extra smoothing parameter search or positivity constraints are added.</t>
        </is>
      </c>
    </row>
  </sheetData>
  <mergeCells count="5">
    <mergeCell ref="A37:P37"/>
    <mergeCell ref="A39:P39"/>
    <mergeCell ref="A3:P3"/>
    <mergeCell ref="A41:P41"/>
    <mergeCell ref="A2:P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</cols>
  <sheetData>
    <row r="1">
      <c r="A1" s="13" t="inlineStr">
        <is>
          <t>Q2(b)_Forecast — Week 11 forecasting layout</t>
        </is>
      </c>
    </row>
    <row r="2" ht="36" customHeight="1">
      <c r="A2" s="2" t="inlineStr">
        <is>
          <t>Coefficient forecasts: theta_new=2*theta_previous−theta_two_periods_back, so added second differences are zero. Fit/forecast LN(m) with SUMPRODUCT; apply EXP to return to mortality rates. No observed data after 2004 enter estimation.</t>
        </is>
      </c>
    </row>
    <row r="3"/>
    <row r="4"/>
    <row r="5">
      <c r="K5" s="16">
        <f>B7</f>
        <v>-3.6297188602641901</v>
      </c>
      <c r="L5" s="16">
        <f>B8</f>
        <v>-3.7541498381504299</v>
      </c>
      <c r="M5" s="16">
        <f>B9</f>
        <v>-3.8775087169887499</v>
      </c>
      <c r="N5" s="16">
        <f>B10</f>
        <v>-3.99480919967746</v>
      </c>
      <c r="O5" s="16">
        <f>B11</f>
        <v>-4.1039575834864701</v>
      </c>
      <c r="P5" s="16">
        <f>B12</f>
        <v>-4.2113359673375301</v>
      </c>
      <c r="Q5" s="16">
        <f>B13</f>
        <v>-4.3187143511885902</v>
      </c>
      <c r="R5" s="16">
        <f>B14</f>
        <v>-4.4260927350396599</v>
      </c>
      <c r="S5" s="16">
        <f>B15</f>
        <v>-4.53347111889072</v>
      </c>
      <c r="T5" s="16">
        <f>B16</f>
        <v>-4.64084950274178</v>
      </c>
      <c r="U5" s="16">
        <f>B17</f>
        <v>-4.7482278865928498</v>
      </c>
    </row>
    <row r="6" ht="32" customHeight="1">
      <c r="A6" s="14" t="inlineStr">
        <is>
          <t>Coefficient knot year</t>
        </is>
      </c>
      <c r="B6" s="14" t="inlineStr">
        <is>
          <t>theta</t>
        </is>
      </c>
      <c r="C6" s="14" t="inlineStr">
        <is>
          <t>First difference</t>
        </is>
      </c>
      <c r="D6" s="14" t="inlineStr">
        <is>
          <t>Second difference</t>
        </is>
      </c>
      <c r="F6" s="14" t="inlineStr">
        <is>
          <t>Year</t>
        </is>
      </c>
      <c r="G6" s="14" t="inlineStr">
        <is>
          <t>Observed mortality</t>
        </is>
      </c>
      <c r="H6" s="14" t="inlineStr">
        <is>
          <t>Fitted / forecast LN(m)</t>
        </is>
      </c>
      <c r="I6" s="14" t="inlineStr">
        <is>
          <t>Fitted / forecast m</t>
        </is>
      </c>
      <c r="J6" s="14" t="inlineStr">
        <is>
          <t>Period</t>
        </is>
      </c>
      <c r="K6" s="14" t="n">
        <v>1986</v>
      </c>
      <c r="L6" s="14" t="n">
        <v>1989</v>
      </c>
      <c r="M6" s="14" t="n">
        <v>1992</v>
      </c>
      <c r="N6" s="14" t="n">
        <v>1995</v>
      </c>
      <c r="O6" s="14" t="n">
        <v>1998</v>
      </c>
      <c r="P6" s="14" t="n">
        <v>2001</v>
      </c>
      <c r="Q6" s="14" t="n">
        <v>2004</v>
      </c>
      <c r="R6" s="14" t="n">
        <v>2007</v>
      </c>
      <c r="S6" s="14" t="n">
        <v>2010</v>
      </c>
      <c r="T6" s="14" t="n">
        <v>2013</v>
      </c>
      <c r="U6" s="14" t="n">
        <v>2016</v>
      </c>
    </row>
    <row r="7">
      <c r="A7" s="18" t="n">
        <v>1986</v>
      </c>
      <c r="B7" s="16">
        <f>'Q2(b)_M1'!B24</f>
        <v>-3.6297188602641901</v>
      </c>
      <c r="F7" s="18" t="n">
        <v>1995</v>
      </c>
      <c r="G7" s="16">
        <f>'Q2(b)_M1'!B8</f>
        <v>0.0235</v>
      </c>
      <c r="H7" s="16">
        <f>SUMPRODUCT(K7:U7,$K$5:$U$5)</f>
        <v>-3.7539711549757802</v>
      </c>
      <c r="I7" s="16">
        <f>EXP(H7)</f>
        <v>0.023424538435580299</v>
      </c>
      <c r="J7" s="15" t="inlineStr">
        <is>
          <t>Fitted</t>
        </is>
      </c>
      <c r="K7" s="16">
        <f>IF($F7&lt;=1986,0,IF($F7&lt;=1989,(($F7-1986)/3)^3/6,IF($F7&lt;=1992,2/3-((($F7-1986)/3)-2)^2-0.5*((($F7-1986)/3)-2)^3,IF($F7&lt;=1995,2/3-((($F7-1986)/3)-2)^2+0.5*((($F7-1986)/3)-2)^3,IF($F7&lt;=1998,(4-(($F7-1986)/3))^3/6,0)))))</f>
        <v>0.16666666666666699</v>
      </c>
      <c r="L7" s="16">
        <f>IF($F7&lt;=1989,0,IF($F7&lt;=1992,(($F7-1989)/3)^3/6,IF($F7&lt;=1995,2/3-((($F7-1989)/3)-2)^2-0.5*((($F7-1989)/3)-2)^3,IF($F7&lt;=1998,2/3-((($F7-1989)/3)-2)^2+0.5*((($F7-1989)/3)-2)^3,IF($F7&lt;=2001,(4-(($F7-1989)/3))^3/6,0)))))</f>
        <v>0.66666666666666696</v>
      </c>
      <c r="M7" s="16">
        <f>IF($F7&lt;=1992,0,IF($F7&lt;=1995,(($F7-1992)/3)^3/6,IF($F7&lt;=1998,2/3-((($F7-1992)/3)-2)^2-0.5*((($F7-1992)/3)-2)^3,IF($F7&lt;=2001,2/3-((($F7-1992)/3)-2)^2+0.5*((($F7-1992)/3)-2)^3,IF($F7&lt;=2004,(4-(($F7-1992)/3))^3/6,0)))))</f>
        <v>0.16666666666666699</v>
      </c>
      <c r="N7" s="16">
        <f>IF($F7&lt;=1995,0,IF($F7&lt;=1998,(($F7-1995)/3)^3/6,IF($F7&lt;=2001,2/3-((($F7-1995)/3)-2)^2-0.5*((($F7-1995)/3)-2)^3,IF($F7&lt;=2004,2/3-((($F7-1995)/3)-2)^2+0.5*((($F7-1995)/3)-2)^3,IF($F7&lt;=2007,(4-(($F7-1995)/3))^3/6,0)))))</f>
        <v>0</v>
      </c>
      <c r="O7" s="16">
        <f>IF($F7&lt;=1998,0,IF($F7&lt;=2001,(($F7-1998)/3)^3/6,IF($F7&lt;=2004,2/3-((($F7-1998)/3)-2)^2-0.5*((($F7-1998)/3)-2)^3,IF($F7&lt;=2007,2/3-((($F7-1998)/3)-2)^2+0.5*((($F7-1998)/3)-2)^3,IF($F7&lt;=2010,(4-(($F7-1998)/3))^3/6,0)))))</f>
        <v>0</v>
      </c>
      <c r="P7" s="16">
        <f>IF($F7&lt;=2001,0,IF($F7&lt;=2004,(($F7-2001)/3)^3/6,IF($F7&lt;=2007,2/3-((($F7-2001)/3)-2)^2-0.5*((($F7-2001)/3)-2)^3,IF($F7&lt;=2010,2/3-((($F7-2001)/3)-2)^2+0.5*((($F7-2001)/3)-2)^3,IF($F7&lt;=2013,(4-(($F7-2001)/3))^3/6,0)))))</f>
        <v>0</v>
      </c>
      <c r="Q7" s="16">
        <f>IF($F7&lt;=2004,0,IF($F7&lt;=2007,(($F7-2004)/3)^3/6,IF($F7&lt;=2010,2/3-((($F7-2004)/3)-2)^2-0.5*((($F7-2004)/3)-2)^3,IF($F7&lt;=2013,2/3-((($F7-2004)/3)-2)^2+0.5*((($F7-2004)/3)-2)^3,IF($F7&lt;=2016,(4-(($F7-2004)/3))^3/6,0)))))</f>
        <v>0</v>
      </c>
      <c r="R7" s="16">
        <f>IF($F7&lt;=2007,0,IF($F7&lt;=2010,(($F7-2007)/3)^3/6,IF($F7&lt;=2013,2/3-((($F7-2007)/3)-2)^2-0.5*((($F7-2007)/3)-2)^3,IF($F7&lt;=2016,2/3-((($F7-2007)/3)-2)^2+0.5*((($F7-2007)/3)-2)^3,IF($F7&lt;=2019,(4-(($F7-2007)/3))^3/6,0)))))</f>
        <v>0</v>
      </c>
      <c r="S7" s="16">
        <f>IF($F7&lt;=2010,0,IF($F7&lt;=2013,(($F7-2010)/3)^3/6,IF($F7&lt;=2016,2/3-((($F7-2010)/3)-2)^2-0.5*((($F7-2010)/3)-2)^3,IF($F7&lt;=2019,2/3-((($F7-2010)/3)-2)^2+0.5*((($F7-2010)/3)-2)^3,IF($F7&lt;=2022,(4-(($F7-2010)/3))^3/6,0)))))</f>
        <v>0</v>
      </c>
      <c r="T7" s="16">
        <f>IF($F7&lt;=2013,0,IF($F7&lt;=2016,(($F7-2013)/3)^3/6,IF($F7&lt;=2019,2/3-((($F7-2013)/3)-2)^2-0.5*((($F7-2013)/3)-2)^3,IF($F7&lt;=2022,2/3-((($F7-2013)/3)-2)^2+0.5*((($F7-2013)/3)-2)^3,IF($F7&lt;=2025,(4-(($F7-2013)/3))^3/6,0)))))</f>
        <v>0</v>
      </c>
      <c r="U7" s="16">
        <f>IF($F7&lt;=2016,0,IF($F7&lt;=2019,(($F7-2016)/3)^3/6,IF($F7&lt;=2022,2/3-((($F7-2016)/3)-2)^2-0.5*((($F7-2016)/3)-2)^3,IF($F7&lt;=2025,2/3-((($F7-2016)/3)-2)^2+0.5*((($F7-2016)/3)-2)^3,IF($F7&lt;=2028,(4-(($F7-2016)/3))^3/6,0)))))</f>
        <v>0</v>
      </c>
    </row>
    <row r="8">
      <c r="A8" s="18" t="n">
        <v>1989</v>
      </c>
      <c r="B8" s="16">
        <f>'Q2(b)_M1'!C24</f>
        <v>-3.7541498381504299</v>
      </c>
      <c r="C8" s="16">
        <f>B8-B7</f>
        <v>-0.124430977886238</v>
      </c>
      <c r="F8" s="18" t="n">
        <v>1996</v>
      </c>
      <c r="H8" s="16">
        <f>SUMPRODUCT(K8:U8,$K$5:$U$5)</f>
        <v>-3.79517912375991</v>
      </c>
      <c r="I8" s="16">
        <f>EXP(H8)</f>
        <v>0.022478878954775999</v>
      </c>
      <c r="J8" s="15" t="inlineStr">
        <is>
          <t>Fitted</t>
        </is>
      </c>
      <c r="K8" s="16">
        <f>IF($F8&lt;=1986,0,IF($F8&lt;=1989,(($F8-1986)/3)^3/6,IF($F8&lt;=1992,2/3-((($F8-1986)/3)-2)^2-0.5*((($F8-1986)/3)-2)^3,IF($F8&lt;=1995,2/3-((($F8-1986)/3)-2)^2+0.5*((($F8-1986)/3)-2)^3,IF($F8&lt;=1998,(4-(($F8-1986)/3))^3/6,0)))))</f>
        <v>0.049382716049382699</v>
      </c>
      <c r="L8" s="16">
        <f>IF($F8&lt;=1989,0,IF($F8&lt;=1992,(($F8-1989)/3)^3/6,IF($F8&lt;=1995,2/3-((($F8-1989)/3)-2)^2-0.5*((($F8-1989)/3)-2)^3,IF($F8&lt;=1998,2/3-((($F8-1989)/3)-2)^2+0.5*((($F8-1989)/3)-2)^3,IF($F8&lt;=2001,(4-(($F8-1989)/3))^3/6,0)))))</f>
        <v>0.57407407407407396</v>
      </c>
      <c r="M8" s="16">
        <f>IF($F8&lt;=1992,0,IF($F8&lt;=1995,(($F8-1992)/3)^3/6,IF($F8&lt;=1998,2/3-((($F8-1992)/3)-2)^2-0.5*((($F8-1992)/3)-2)^3,IF($F8&lt;=2001,2/3-((($F8-1992)/3)-2)^2+0.5*((($F8-1992)/3)-2)^3,IF($F8&lt;=2004,(4-(($F8-1992)/3))^3/6,0)))))</f>
        <v>0.37037037037037002</v>
      </c>
      <c r="N8" s="16">
        <f>IF($F8&lt;=1995,0,IF($F8&lt;=1998,(($F8-1995)/3)^3/6,IF($F8&lt;=2001,2/3-((($F8-1995)/3)-2)^2-0.5*((($F8-1995)/3)-2)^3,IF($F8&lt;=2004,2/3-((($F8-1995)/3)-2)^2+0.5*((($F8-1995)/3)-2)^3,IF($F8&lt;=2007,(4-(($F8-1995)/3))^3/6,0)))))</f>
        <v>0.00617283950617284</v>
      </c>
      <c r="O8" s="16">
        <f>IF($F8&lt;=1998,0,IF($F8&lt;=2001,(($F8-1998)/3)^3/6,IF($F8&lt;=2004,2/3-((($F8-1998)/3)-2)^2-0.5*((($F8-1998)/3)-2)^3,IF($F8&lt;=2007,2/3-((($F8-1998)/3)-2)^2+0.5*((($F8-1998)/3)-2)^3,IF($F8&lt;=2010,(4-(($F8-1998)/3))^3/6,0)))))</f>
        <v>0</v>
      </c>
      <c r="P8" s="16">
        <f>IF($F8&lt;=2001,0,IF($F8&lt;=2004,(($F8-2001)/3)^3/6,IF($F8&lt;=2007,2/3-((($F8-2001)/3)-2)^2-0.5*((($F8-2001)/3)-2)^3,IF($F8&lt;=2010,2/3-((($F8-2001)/3)-2)^2+0.5*((($F8-2001)/3)-2)^3,IF($F8&lt;=2013,(4-(($F8-2001)/3))^3/6,0)))))</f>
        <v>0</v>
      </c>
      <c r="Q8" s="16">
        <f>IF($F8&lt;=2004,0,IF($F8&lt;=2007,(($F8-2004)/3)^3/6,IF($F8&lt;=2010,2/3-((($F8-2004)/3)-2)^2-0.5*((($F8-2004)/3)-2)^3,IF($F8&lt;=2013,2/3-((($F8-2004)/3)-2)^2+0.5*((($F8-2004)/3)-2)^3,IF($F8&lt;=2016,(4-(($F8-2004)/3))^3/6,0)))))</f>
        <v>0</v>
      </c>
      <c r="R8" s="16">
        <f>IF($F8&lt;=2007,0,IF($F8&lt;=2010,(($F8-2007)/3)^3/6,IF($F8&lt;=2013,2/3-((($F8-2007)/3)-2)^2-0.5*((($F8-2007)/3)-2)^3,IF($F8&lt;=2016,2/3-((($F8-2007)/3)-2)^2+0.5*((($F8-2007)/3)-2)^3,IF($F8&lt;=2019,(4-(($F8-2007)/3))^3/6,0)))))</f>
        <v>0</v>
      </c>
      <c r="S8" s="16">
        <f>IF($F8&lt;=2010,0,IF($F8&lt;=2013,(($F8-2010)/3)^3/6,IF($F8&lt;=2016,2/3-((($F8-2010)/3)-2)^2-0.5*((($F8-2010)/3)-2)^3,IF($F8&lt;=2019,2/3-((($F8-2010)/3)-2)^2+0.5*((($F8-2010)/3)-2)^3,IF($F8&lt;=2022,(4-(($F8-2010)/3))^3/6,0)))))</f>
        <v>0</v>
      </c>
      <c r="T8" s="16">
        <f>IF($F8&lt;=2013,0,IF($F8&lt;=2016,(($F8-2013)/3)^3/6,IF($F8&lt;=2019,2/3-((($F8-2013)/3)-2)^2-0.5*((($F8-2013)/3)-2)^3,IF($F8&lt;=2022,2/3-((($F8-2013)/3)-2)^2+0.5*((($F8-2013)/3)-2)^3,IF($F8&lt;=2025,(4-(($F8-2013)/3))^3/6,0)))))</f>
        <v>0</v>
      </c>
      <c r="U8" s="16">
        <f>IF($F8&lt;=2016,0,IF($F8&lt;=2019,(($F8-2016)/3)^3/6,IF($F8&lt;=2022,2/3-((($F8-2016)/3)-2)^2-0.5*((($F8-2016)/3)-2)^3,IF($F8&lt;=2025,2/3-((($F8-2016)/3)-2)^2+0.5*((($F8-2016)/3)-2)^3,IF($F8&lt;=2028,(4-(($F8-2016)/3))^3/6,0)))))</f>
        <v>0</v>
      </c>
    </row>
    <row r="9">
      <c r="A9" s="18" t="n">
        <v>1992</v>
      </c>
      <c r="B9" s="16">
        <f>'Q2(b)_M1'!D24</f>
        <v>-3.8775087169887499</v>
      </c>
      <c r="C9" s="16">
        <f>B9-B8</f>
        <v>-0.123358878838321</v>
      </c>
      <c r="D9" s="16">
        <f>C9-C8</f>
        <v>0.00107209904791716</v>
      </c>
      <c r="F9" s="18" t="n">
        <v>1997</v>
      </c>
      <c r="H9" s="16">
        <f>SUMPRODUCT(K9:U9,$K$5:$U$5)</f>
        <v>-3.8360832927571802</v>
      </c>
      <c r="I9" s="16">
        <f>EXP(H9)</f>
        <v>0.021577950566926001</v>
      </c>
      <c r="J9" s="15" t="inlineStr">
        <is>
          <t>Fitted</t>
        </is>
      </c>
      <c r="K9" s="16">
        <f>IF($F9&lt;=1986,0,IF($F9&lt;=1989,(($F9-1986)/3)^3/6,IF($F9&lt;=1992,2/3-((($F9-1986)/3)-2)^2-0.5*((($F9-1986)/3)-2)^3,IF($F9&lt;=1995,2/3-((($F9-1986)/3)-2)^2+0.5*((($F9-1986)/3)-2)^3,IF($F9&lt;=1998,(4-(($F9-1986)/3))^3/6,0)))))</f>
        <v>0.00617283950617284</v>
      </c>
      <c r="L9" s="16">
        <f>IF($F9&lt;=1989,0,IF($F9&lt;=1992,(($F9-1989)/3)^3/6,IF($F9&lt;=1995,2/3-((($F9-1989)/3)-2)^2-0.5*((($F9-1989)/3)-2)^3,IF($F9&lt;=1998,2/3-((($F9-1989)/3)-2)^2+0.5*((($F9-1989)/3)-2)^3,IF($F9&lt;=2001,(4-(($F9-1989)/3))^3/6,0)))))</f>
        <v>0.37037037037037002</v>
      </c>
      <c r="M9" s="16">
        <f>IF($F9&lt;=1992,0,IF($F9&lt;=1995,(($F9-1992)/3)^3/6,IF($F9&lt;=1998,2/3-((($F9-1992)/3)-2)^2-0.5*((($F9-1992)/3)-2)^3,IF($F9&lt;=2001,2/3-((($F9-1992)/3)-2)^2+0.5*((($F9-1992)/3)-2)^3,IF($F9&lt;=2004,(4-(($F9-1992)/3))^3/6,0)))))</f>
        <v>0.57407407407407396</v>
      </c>
      <c r="N9" s="16">
        <f>IF($F9&lt;=1995,0,IF($F9&lt;=1998,(($F9-1995)/3)^3/6,IF($F9&lt;=2001,2/3-((($F9-1995)/3)-2)^2-0.5*((($F9-1995)/3)-2)^3,IF($F9&lt;=2004,2/3-((($F9-1995)/3)-2)^2+0.5*((($F9-1995)/3)-2)^3,IF($F9&lt;=2007,(4-(($F9-1995)/3))^3/6,0)))))</f>
        <v>0.049382716049382699</v>
      </c>
      <c r="O9" s="16">
        <f>IF($F9&lt;=1998,0,IF($F9&lt;=2001,(($F9-1998)/3)^3/6,IF($F9&lt;=2004,2/3-((($F9-1998)/3)-2)^2-0.5*((($F9-1998)/3)-2)^3,IF($F9&lt;=2007,2/3-((($F9-1998)/3)-2)^2+0.5*((($F9-1998)/3)-2)^3,IF($F9&lt;=2010,(4-(($F9-1998)/3))^3/6,0)))))</f>
        <v>0</v>
      </c>
      <c r="P9" s="16">
        <f>IF($F9&lt;=2001,0,IF($F9&lt;=2004,(($F9-2001)/3)^3/6,IF($F9&lt;=2007,2/3-((($F9-2001)/3)-2)^2-0.5*((($F9-2001)/3)-2)^3,IF($F9&lt;=2010,2/3-((($F9-2001)/3)-2)^2+0.5*((($F9-2001)/3)-2)^3,IF($F9&lt;=2013,(4-(($F9-2001)/3))^3/6,0)))))</f>
        <v>0</v>
      </c>
      <c r="Q9" s="16">
        <f>IF($F9&lt;=2004,0,IF($F9&lt;=2007,(($F9-2004)/3)^3/6,IF($F9&lt;=2010,2/3-((($F9-2004)/3)-2)^2-0.5*((($F9-2004)/3)-2)^3,IF($F9&lt;=2013,2/3-((($F9-2004)/3)-2)^2+0.5*((($F9-2004)/3)-2)^3,IF($F9&lt;=2016,(4-(($F9-2004)/3))^3/6,0)))))</f>
        <v>0</v>
      </c>
      <c r="R9" s="16">
        <f>IF($F9&lt;=2007,0,IF($F9&lt;=2010,(($F9-2007)/3)^3/6,IF($F9&lt;=2013,2/3-((($F9-2007)/3)-2)^2-0.5*((($F9-2007)/3)-2)^3,IF($F9&lt;=2016,2/3-((($F9-2007)/3)-2)^2+0.5*((($F9-2007)/3)-2)^3,IF($F9&lt;=2019,(4-(($F9-2007)/3))^3/6,0)))))</f>
        <v>0</v>
      </c>
      <c r="S9" s="16">
        <f>IF($F9&lt;=2010,0,IF($F9&lt;=2013,(($F9-2010)/3)^3/6,IF($F9&lt;=2016,2/3-((($F9-2010)/3)-2)^2-0.5*((($F9-2010)/3)-2)^3,IF($F9&lt;=2019,2/3-((($F9-2010)/3)-2)^2+0.5*((($F9-2010)/3)-2)^3,IF($F9&lt;=2022,(4-(($F9-2010)/3))^3/6,0)))))</f>
        <v>0</v>
      </c>
      <c r="T9" s="16">
        <f>IF($F9&lt;=2013,0,IF($F9&lt;=2016,(($F9-2013)/3)^3/6,IF($F9&lt;=2019,2/3-((($F9-2013)/3)-2)^2-0.5*((($F9-2013)/3)-2)^3,IF($F9&lt;=2022,2/3-((($F9-2013)/3)-2)^2+0.5*((($F9-2013)/3)-2)^3,IF($F9&lt;=2025,(4-(($F9-2013)/3))^3/6,0)))))</f>
        <v>0</v>
      </c>
      <c r="U9" s="16">
        <f>IF($F9&lt;=2016,0,IF($F9&lt;=2019,(($F9-2016)/3)^3/6,IF($F9&lt;=2022,2/3-((($F9-2016)/3)-2)^2-0.5*((($F9-2016)/3)-2)^3,IF($F9&lt;=2025,2/3-((($F9-2016)/3)-2)^2+0.5*((($F9-2016)/3)-2)^3,IF($F9&lt;=2028,(4-(($F9-2016)/3))^3/6,0)))))</f>
        <v>0</v>
      </c>
    </row>
    <row r="10">
      <c r="A10" s="18" t="n">
        <v>1995</v>
      </c>
      <c r="B10" s="16">
        <f>'Q2(b)_M1'!E24</f>
        <v>-3.99480919967746</v>
      </c>
      <c r="C10" s="16">
        <f>B10-B9</f>
        <v>-0.117300482688708</v>
      </c>
      <c r="D10" s="16">
        <f>C10-C9</f>
        <v>0.0060583961496134498</v>
      </c>
      <c r="F10" s="18" t="n">
        <v>1998</v>
      </c>
      <c r="G10" s="16">
        <f>'Q2(b)_M1'!B9</f>
        <v>0.0207</v>
      </c>
      <c r="H10" s="16">
        <f>SUMPRODUCT(K10:U10,$K$5:$U$5)</f>
        <v>-3.8764989842971498</v>
      </c>
      <c r="I10" s="16">
        <f>EXP(H10)</f>
        <v>0.0207232507525036</v>
      </c>
      <c r="J10" s="15" t="inlineStr">
        <is>
          <t>Fitted</t>
        </is>
      </c>
      <c r="K10" s="16">
        <f>IF($F10&lt;=1986,0,IF($F10&lt;=1989,(($F10-1986)/3)^3/6,IF($F10&lt;=1992,2/3-((($F10-1986)/3)-2)^2-0.5*((($F10-1986)/3)-2)^3,IF($F10&lt;=1995,2/3-((($F10-1986)/3)-2)^2+0.5*((($F10-1986)/3)-2)^3,IF($F10&lt;=1998,(4-(($F10-1986)/3))^3/6,0)))))</f>
        <v>0</v>
      </c>
      <c r="L10" s="16">
        <f>IF($F10&lt;=1989,0,IF($F10&lt;=1992,(($F10-1989)/3)^3/6,IF($F10&lt;=1995,2/3-((($F10-1989)/3)-2)^2-0.5*((($F10-1989)/3)-2)^3,IF($F10&lt;=1998,2/3-((($F10-1989)/3)-2)^2+0.5*((($F10-1989)/3)-2)^3,IF($F10&lt;=2001,(4-(($F10-1989)/3))^3/6,0)))))</f>
        <v>0.16666666666666699</v>
      </c>
      <c r="M10" s="16">
        <f>IF($F10&lt;=1992,0,IF($F10&lt;=1995,(($F10-1992)/3)^3/6,IF($F10&lt;=1998,2/3-((($F10-1992)/3)-2)^2-0.5*((($F10-1992)/3)-2)^3,IF($F10&lt;=2001,2/3-((($F10-1992)/3)-2)^2+0.5*((($F10-1992)/3)-2)^3,IF($F10&lt;=2004,(4-(($F10-1992)/3))^3/6,0)))))</f>
        <v>0.66666666666666696</v>
      </c>
      <c r="N10" s="16">
        <f>IF($F10&lt;=1995,0,IF($F10&lt;=1998,(($F10-1995)/3)^3/6,IF($F10&lt;=2001,2/3-((($F10-1995)/3)-2)^2-0.5*((($F10-1995)/3)-2)^3,IF($F10&lt;=2004,2/3-((($F10-1995)/3)-2)^2+0.5*((($F10-1995)/3)-2)^3,IF($F10&lt;=2007,(4-(($F10-1995)/3))^3/6,0)))))</f>
        <v>0.16666666666666699</v>
      </c>
      <c r="O10" s="16">
        <f>IF($F10&lt;=1998,0,IF($F10&lt;=2001,(($F10-1998)/3)^3/6,IF($F10&lt;=2004,2/3-((($F10-1998)/3)-2)^2-0.5*((($F10-1998)/3)-2)^3,IF($F10&lt;=2007,2/3-((($F10-1998)/3)-2)^2+0.5*((($F10-1998)/3)-2)^3,IF($F10&lt;=2010,(4-(($F10-1998)/3))^3/6,0)))))</f>
        <v>0</v>
      </c>
      <c r="P10" s="16">
        <f>IF($F10&lt;=2001,0,IF($F10&lt;=2004,(($F10-2001)/3)^3/6,IF($F10&lt;=2007,2/3-((($F10-2001)/3)-2)^2-0.5*((($F10-2001)/3)-2)^3,IF($F10&lt;=2010,2/3-((($F10-2001)/3)-2)^2+0.5*((($F10-2001)/3)-2)^3,IF($F10&lt;=2013,(4-(($F10-2001)/3))^3/6,0)))))</f>
        <v>0</v>
      </c>
      <c r="Q10" s="16">
        <f>IF($F10&lt;=2004,0,IF($F10&lt;=2007,(($F10-2004)/3)^3/6,IF($F10&lt;=2010,2/3-((($F10-2004)/3)-2)^2-0.5*((($F10-2004)/3)-2)^3,IF($F10&lt;=2013,2/3-((($F10-2004)/3)-2)^2+0.5*((($F10-2004)/3)-2)^3,IF($F10&lt;=2016,(4-(($F10-2004)/3))^3/6,0)))))</f>
        <v>0</v>
      </c>
      <c r="R10" s="16">
        <f>IF($F10&lt;=2007,0,IF($F10&lt;=2010,(($F10-2007)/3)^3/6,IF($F10&lt;=2013,2/3-((($F10-2007)/3)-2)^2-0.5*((($F10-2007)/3)-2)^3,IF($F10&lt;=2016,2/3-((($F10-2007)/3)-2)^2+0.5*((($F10-2007)/3)-2)^3,IF($F10&lt;=2019,(4-(($F10-2007)/3))^3/6,0)))))</f>
        <v>0</v>
      </c>
      <c r="S10" s="16">
        <f>IF($F10&lt;=2010,0,IF($F10&lt;=2013,(($F10-2010)/3)^3/6,IF($F10&lt;=2016,2/3-((($F10-2010)/3)-2)^2-0.5*((($F10-2010)/3)-2)^3,IF($F10&lt;=2019,2/3-((($F10-2010)/3)-2)^2+0.5*((($F10-2010)/3)-2)^3,IF($F10&lt;=2022,(4-(($F10-2010)/3))^3/6,0)))))</f>
        <v>0</v>
      </c>
      <c r="T10" s="16">
        <f>IF($F10&lt;=2013,0,IF($F10&lt;=2016,(($F10-2013)/3)^3/6,IF($F10&lt;=2019,2/3-((($F10-2013)/3)-2)^2-0.5*((($F10-2013)/3)-2)^3,IF($F10&lt;=2022,2/3-((($F10-2013)/3)-2)^2+0.5*((($F10-2013)/3)-2)^3,IF($F10&lt;=2025,(4-(($F10-2013)/3))^3/6,0)))))</f>
        <v>0</v>
      </c>
      <c r="U10" s="16">
        <f>IF($F10&lt;=2016,0,IF($F10&lt;=2019,(($F10-2016)/3)^3/6,IF($F10&lt;=2022,2/3-((($F10-2016)/3)-2)^2-0.5*((($F10-2016)/3)-2)^3,IF($F10&lt;=2025,2/3-((($F10-2016)/3)-2)^2+0.5*((($F10-2016)/3)-2)^3,IF($F10&lt;=2028,(4-(($F10-2016)/3))^3/6,0)))))</f>
        <v>0</v>
      </c>
    </row>
    <row r="11">
      <c r="A11" s="18" t="n">
        <v>1998</v>
      </c>
      <c r="B11" s="16">
        <f>'Q2(b)_M1'!F24</f>
        <v>-4.1039575834864701</v>
      </c>
      <c r="C11" s="16">
        <f>B11-B10</f>
        <v>-0.109148383809009</v>
      </c>
      <c r="D11" s="16">
        <f>C11-C10</f>
        <v>0.00815209887969859</v>
      </c>
      <c r="F11" s="18" t="n">
        <v>1999</v>
      </c>
      <c r="H11" s="16">
        <f>SUMPRODUCT(K11:U11,$K$5:$U$5)</f>
        <v>-3.9162593762301898</v>
      </c>
      <c r="I11" s="16">
        <f>EXP(H11)</f>
        <v>0.0199154517991715</v>
      </c>
      <c r="J11" s="15" t="inlineStr">
        <is>
          <t>Fitted</t>
        </is>
      </c>
      <c r="K11" s="16">
        <f>IF($F11&lt;=1986,0,IF($F11&lt;=1989,(($F11-1986)/3)^3/6,IF($F11&lt;=1992,2/3-((($F11-1986)/3)-2)^2-0.5*((($F11-1986)/3)-2)^3,IF($F11&lt;=1995,2/3-((($F11-1986)/3)-2)^2+0.5*((($F11-1986)/3)-2)^3,IF($F11&lt;=1998,(4-(($F11-1986)/3))^3/6,0)))))</f>
        <v>0</v>
      </c>
      <c r="L11" s="16">
        <f>IF($F11&lt;=1989,0,IF($F11&lt;=1992,(($F11-1989)/3)^3/6,IF($F11&lt;=1995,2/3-((($F11-1989)/3)-2)^2-0.5*((($F11-1989)/3)-2)^3,IF($F11&lt;=1998,2/3-((($F11-1989)/3)-2)^2+0.5*((($F11-1989)/3)-2)^3,IF($F11&lt;=2001,(4-(($F11-1989)/3))^3/6,0)))))</f>
        <v>0.049382716049382699</v>
      </c>
      <c r="M11" s="16">
        <f>IF($F11&lt;=1992,0,IF($F11&lt;=1995,(($F11-1992)/3)^3/6,IF($F11&lt;=1998,2/3-((($F11-1992)/3)-2)^2-0.5*((($F11-1992)/3)-2)^3,IF($F11&lt;=2001,2/3-((($F11-1992)/3)-2)^2+0.5*((($F11-1992)/3)-2)^3,IF($F11&lt;=2004,(4-(($F11-1992)/3))^3/6,0)))))</f>
        <v>0.57407407407407396</v>
      </c>
      <c r="N11" s="16">
        <f>IF($F11&lt;=1995,0,IF($F11&lt;=1998,(($F11-1995)/3)^3/6,IF($F11&lt;=2001,2/3-((($F11-1995)/3)-2)^2-0.5*((($F11-1995)/3)-2)^3,IF($F11&lt;=2004,2/3-((($F11-1995)/3)-2)^2+0.5*((($F11-1995)/3)-2)^3,IF($F11&lt;=2007,(4-(($F11-1995)/3))^3/6,0)))))</f>
        <v>0.37037037037037002</v>
      </c>
      <c r="O11" s="16">
        <f>IF($F11&lt;=1998,0,IF($F11&lt;=2001,(($F11-1998)/3)^3/6,IF($F11&lt;=2004,2/3-((($F11-1998)/3)-2)^2-0.5*((($F11-1998)/3)-2)^3,IF($F11&lt;=2007,2/3-((($F11-1998)/3)-2)^2+0.5*((($F11-1998)/3)-2)^3,IF($F11&lt;=2010,(4-(($F11-1998)/3))^3/6,0)))))</f>
        <v>0.00617283950617284</v>
      </c>
      <c r="P11" s="16">
        <f>IF($F11&lt;=2001,0,IF($F11&lt;=2004,(($F11-2001)/3)^3/6,IF($F11&lt;=2007,2/3-((($F11-2001)/3)-2)^2-0.5*((($F11-2001)/3)-2)^3,IF($F11&lt;=2010,2/3-((($F11-2001)/3)-2)^2+0.5*((($F11-2001)/3)-2)^3,IF($F11&lt;=2013,(4-(($F11-2001)/3))^3/6,0)))))</f>
        <v>0</v>
      </c>
      <c r="Q11" s="16">
        <f>IF($F11&lt;=2004,0,IF($F11&lt;=2007,(($F11-2004)/3)^3/6,IF($F11&lt;=2010,2/3-((($F11-2004)/3)-2)^2-0.5*((($F11-2004)/3)-2)^3,IF($F11&lt;=2013,2/3-((($F11-2004)/3)-2)^2+0.5*((($F11-2004)/3)-2)^3,IF($F11&lt;=2016,(4-(($F11-2004)/3))^3/6,0)))))</f>
        <v>0</v>
      </c>
      <c r="R11" s="16">
        <f>IF($F11&lt;=2007,0,IF($F11&lt;=2010,(($F11-2007)/3)^3/6,IF($F11&lt;=2013,2/3-((($F11-2007)/3)-2)^2-0.5*((($F11-2007)/3)-2)^3,IF($F11&lt;=2016,2/3-((($F11-2007)/3)-2)^2+0.5*((($F11-2007)/3)-2)^3,IF($F11&lt;=2019,(4-(($F11-2007)/3))^3/6,0)))))</f>
        <v>0</v>
      </c>
      <c r="S11" s="16">
        <f>IF($F11&lt;=2010,0,IF($F11&lt;=2013,(($F11-2010)/3)^3/6,IF($F11&lt;=2016,2/3-((($F11-2010)/3)-2)^2-0.5*((($F11-2010)/3)-2)^3,IF($F11&lt;=2019,2/3-((($F11-2010)/3)-2)^2+0.5*((($F11-2010)/3)-2)^3,IF($F11&lt;=2022,(4-(($F11-2010)/3))^3/6,0)))))</f>
        <v>0</v>
      </c>
      <c r="T11" s="16">
        <f>IF($F11&lt;=2013,0,IF($F11&lt;=2016,(($F11-2013)/3)^3/6,IF($F11&lt;=2019,2/3-((($F11-2013)/3)-2)^2-0.5*((($F11-2013)/3)-2)^3,IF($F11&lt;=2022,2/3-((($F11-2013)/3)-2)^2+0.5*((($F11-2013)/3)-2)^3,IF($F11&lt;=2025,(4-(($F11-2013)/3))^3/6,0)))))</f>
        <v>0</v>
      </c>
      <c r="U11" s="16">
        <f>IF($F11&lt;=2016,0,IF($F11&lt;=2019,(($F11-2016)/3)^3/6,IF($F11&lt;=2022,2/3-((($F11-2016)/3)-2)^2-0.5*((($F11-2016)/3)-2)^3,IF($F11&lt;=2025,2/3-((($F11-2016)/3)-2)^2+0.5*((($F11-2016)/3)-2)^3,IF($F11&lt;=2028,(4-(($F11-2016)/3))^3/6,0)))))</f>
        <v>0</v>
      </c>
    </row>
    <row r="12">
      <c r="A12" s="18" t="n">
        <v>2001</v>
      </c>
      <c r="B12" s="16">
        <f>'Q2(b)_M1'!G24</f>
        <v>-4.2113359673375301</v>
      </c>
      <c r="C12" s="16">
        <f>B12-B11</f>
        <v>-0.107378383851064</v>
      </c>
      <c r="D12" s="16">
        <f>C12-C11</f>
        <v>0.00176999995794569</v>
      </c>
      <c r="F12" s="18" t="n">
        <v>2000</v>
      </c>
      <c r="H12" s="16">
        <f>SUMPRODUCT(K12:U12,$K$5:$U$5)</f>
        <v>-3.9552690684899399</v>
      </c>
      <c r="I12" s="16">
        <f>EXP(H12)</f>
        <v>0.0191535142490886</v>
      </c>
      <c r="J12" s="15" t="inlineStr">
        <is>
          <t>Fitted</t>
        </is>
      </c>
      <c r="K12" s="16">
        <f>IF($F12&lt;=1986,0,IF($F12&lt;=1989,(($F12-1986)/3)^3/6,IF($F12&lt;=1992,2/3-((($F12-1986)/3)-2)^2-0.5*((($F12-1986)/3)-2)^3,IF($F12&lt;=1995,2/3-((($F12-1986)/3)-2)^2+0.5*((($F12-1986)/3)-2)^3,IF($F12&lt;=1998,(4-(($F12-1986)/3))^3/6,0)))))</f>
        <v>0</v>
      </c>
      <c r="L12" s="16">
        <f>IF($F12&lt;=1989,0,IF($F12&lt;=1992,(($F12-1989)/3)^3/6,IF($F12&lt;=1995,2/3-((($F12-1989)/3)-2)^2-0.5*((($F12-1989)/3)-2)^3,IF($F12&lt;=1998,2/3-((($F12-1989)/3)-2)^2+0.5*((($F12-1989)/3)-2)^3,IF($F12&lt;=2001,(4-(($F12-1989)/3))^3/6,0)))))</f>
        <v>0.00617283950617284</v>
      </c>
      <c r="M12" s="16">
        <f>IF($F12&lt;=1992,0,IF($F12&lt;=1995,(($F12-1992)/3)^3/6,IF($F12&lt;=1998,2/3-((($F12-1992)/3)-2)^2-0.5*((($F12-1992)/3)-2)^3,IF($F12&lt;=2001,2/3-((($F12-1992)/3)-2)^2+0.5*((($F12-1992)/3)-2)^3,IF($F12&lt;=2004,(4-(($F12-1992)/3))^3/6,0)))))</f>
        <v>0.37037037037037002</v>
      </c>
      <c r="N12" s="16">
        <f>IF($F12&lt;=1995,0,IF($F12&lt;=1998,(($F12-1995)/3)^3/6,IF($F12&lt;=2001,2/3-((($F12-1995)/3)-2)^2-0.5*((($F12-1995)/3)-2)^3,IF($F12&lt;=2004,2/3-((($F12-1995)/3)-2)^2+0.5*((($F12-1995)/3)-2)^3,IF($F12&lt;=2007,(4-(($F12-1995)/3))^3/6,0)))))</f>
        <v>0.57407407407407396</v>
      </c>
      <c r="O12" s="16">
        <f>IF($F12&lt;=1998,0,IF($F12&lt;=2001,(($F12-1998)/3)^3/6,IF($F12&lt;=2004,2/3-((($F12-1998)/3)-2)^2-0.5*((($F12-1998)/3)-2)^3,IF($F12&lt;=2007,2/3-((($F12-1998)/3)-2)^2+0.5*((($F12-1998)/3)-2)^3,IF($F12&lt;=2010,(4-(($F12-1998)/3))^3/6,0)))))</f>
        <v>0.049382716049382699</v>
      </c>
      <c r="P12" s="16">
        <f>IF($F12&lt;=2001,0,IF($F12&lt;=2004,(($F12-2001)/3)^3/6,IF($F12&lt;=2007,2/3-((($F12-2001)/3)-2)^2-0.5*((($F12-2001)/3)-2)^3,IF($F12&lt;=2010,2/3-((($F12-2001)/3)-2)^2+0.5*((($F12-2001)/3)-2)^3,IF($F12&lt;=2013,(4-(($F12-2001)/3))^3/6,0)))))</f>
        <v>0</v>
      </c>
      <c r="Q12" s="16">
        <f>IF($F12&lt;=2004,0,IF($F12&lt;=2007,(($F12-2004)/3)^3/6,IF($F12&lt;=2010,2/3-((($F12-2004)/3)-2)^2-0.5*((($F12-2004)/3)-2)^3,IF($F12&lt;=2013,2/3-((($F12-2004)/3)-2)^2+0.5*((($F12-2004)/3)-2)^3,IF($F12&lt;=2016,(4-(($F12-2004)/3))^3/6,0)))))</f>
        <v>0</v>
      </c>
      <c r="R12" s="16">
        <f>IF($F12&lt;=2007,0,IF($F12&lt;=2010,(($F12-2007)/3)^3/6,IF($F12&lt;=2013,2/3-((($F12-2007)/3)-2)^2-0.5*((($F12-2007)/3)-2)^3,IF($F12&lt;=2016,2/3-((($F12-2007)/3)-2)^2+0.5*((($F12-2007)/3)-2)^3,IF($F12&lt;=2019,(4-(($F12-2007)/3))^3/6,0)))))</f>
        <v>0</v>
      </c>
      <c r="S12" s="16">
        <f>IF($F12&lt;=2010,0,IF($F12&lt;=2013,(($F12-2010)/3)^3/6,IF($F12&lt;=2016,2/3-((($F12-2010)/3)-2)^2-0.5*((($F12-2010)/3)-2)^3,IF($F12&lt;=2019,2/3-((($F12-2010)/3)-2)^2+0.5*((($F12-2010)/3)-2)^3,IF($F12&lt;=2022,(4-(($F12-2010)/3))^3/6,0)))))</f>
        <v>0</v>
      </c>
      <c r="T12" s="16">
        <f>IF($F12&lt;=2013,0,IF($F12&lt;=2016,(($F12-2013)/3)^3/6,IF($F12&lt;=2019,2/3-((($F12-2013)/3)-2)^2-0.5*((($F12-2013)/3)-2)^3,IF($F12&lt;=2022,2/3-((($F12-2013)/3)-2)^2+0.5*((($F12-2013)/3)-2)^3,IF($F12&lt;=2025,(4-(($F12-2013)/3))^3/6,0)))))</f>
        <v>0</v>
      </c>
      <c r="U12" s="16">
        <f>IF($F12&lt;=2016,0,IF($F12&lt;=2019,(($F12-2016)/3)^3/6,IF($F12&lt;=2022,2/3-((($F12-2016)/3)-2)^2-0.5*((($F12-2016)/3)-2)^3,IF($F12&lt;=2025,2/3-((($F12-2016)/3)-2)^2+0.5*((($F12-2016)/3)-2)^3,IF($F12&lt;=2028,(4-(($F12-2016)/3))^3/6,0)))))</f>
        <v>0</v>
      </c>
    </row>
    <row r="13">
      <c r="A13" s="18" t="n">
        <v>2004</v>
      </c>
      <c r="B13" s="16">
        <f>2*B12-B11</f>
        <v>-4.3187143511885902</v>
      </c>
      <c r="C13" s="16">
        <f>B13-B12</f>
        <v>-0.107378383851064</v>
      </c>
      <c r="D13" s="16">
        <f>C13-C12</f>
        <v>0</v>
      </c>
      <c r="F13" s="18" t="n">
        <v>2001</v>
      </c>
      <c r="G13" s="16">
        <f>'Q2(b)_M1'!B10</f>
        <v>0.0183</v>
      </c>
      <c r="H13" s="16">
        <f>SUMPRODUCT(K13:U13,$K$5:$U$5)</f>
        <v>-3.99345051653084</v>
      </c>
      <c r="I13" s="16">
        <f>EXP(H13)</f>
        <v>0.018435990553267601</v>
      </c>
      <c r="J13" s="15" t="inlineStr">
        <is>
          <t>Fitted</t>
        </is>
      </c>
      <c r="K13" s="16">
        <f>IF($F13&lt;=1986,0,IF($F13&lt;=1989,(($F13-1986)/3)^3/6,IF($F13&lt;=1992,2/3-((($F13-1986)/3)-2)^2-0.5*((($F13-1986)/3)-2)^3,IF($F13&lt;=1995,2/3-((($F13-1986)/3)-2)^2+0.5*((($F13-1986)/3)-2)^3,IF($F13&lt;=1998,(4-(($F13-1986)/3))^3/6,0)))))</f>
        <v>0</v>
      </c>
      <c r="L13" s="16">
        <f>IF($F13&lt;=1989,0,IF($F13&lt;=1992,(($F13-1989)/3)^3/6,IF($F13&lt;=1995,2/3-((($F13-1989)/3)-2)^2-0.5*((($F13-1989)/3)-2)^3,IF($F13&lt;=1998,2/3-((($F13-1989)/3)-2)^2+0.5*((($F13-1989)/3)-2)^3,IF($F13&lt;=2001,(4-(($F13-1989)/3))^3/6,0)))))</f>
        <v>0</v>
      </c>
      <c r="M13" s="16">
        <f>IF($F13&lt;=1992,0,IF($F13&lt;=1995,(($F13-1992)/3)^3/6,IF($F13&lt;=1998,2/3-((($F13-1992)/3)-2)^2-0.5*((($F13-1992)/3)-2)^3,IF($F13&lt;=2001,2/3-((($F13-1992)/3)-2)^2+0.5*((($F13-1992)/3)-2)^3,IF($F13&lt;=2004,(4-(($F13-1992)/3))^3/6,0)))))</f>
        <v>0.16666666666666699</v>
      </c>
      <c r="N13" s="16">
        <f>IF($F13&lt;=1995,0,IF($F13&lt;=1998,(($F13-1995)/3)^3/6,IF($F13&lt;=2001,2/3-((($F13-1995)/3)-2)^2-0.5*((($F13-1995)/3)-2)^3,IF($F13&lt;=2004,2/3-((($F13-1995)/3)-2)^2+0.5*((($F13-1995)/3)-2)^3,IF($F13&lt;=2007,(4-(($F13-1995)/3))^3/6,0)))))</f>
        <v>0.66666666666666696</v>
      </c>
      <c r="O13" s="16">
        <f>IF($F13&lt;=1998,0,IF($F13&lt;=2001,(($F13-1998)/3)^3/6,IF($F13&lt;=2004,2/3-((($F13-1998)/3)-2)^2-0.5*((($F13-1998)/3)-2)^3,IF($F13&lt;=2007,2/3-((($F13-1998)/3)-2)^2+0.5*((($F13-1998)/3)-2)^3,IF($F13&lt;=2010,(4-(($F13-1998)/3))^3/6,0)))))</f>
        <v>0.16666666666666699</v>
      </c>
      <c r="P13" s="16">
        <f>IF($F13&lt;=2001,0,IF($F13&lt;=2004,(($F13-2001)/3)^3/6,IF($F13&lt;=2007,2/3-((($F13-2001)/3)-2)^2-0.5*((($F13-2001)/3)-2)^3,IF($F13&lt;=2010,2/3-((($F13-2001)/3)-2)^2+0.5*((($F13-2001)/3)-2)^3,IF($F13&lt;=2013,(4-(($F13-2001)/3))^3/6,0)))))</f>
        <v>0</v>
      </c>
      <c r="Q13" s="16">
        <f>IF($F13&lt;=2004,0,IF($F13&lt;=2007,(($F13-2004)/3)^3/6,IF($F13&lt;=2010,2/3-((($F13-2004)/3)-2)^2-0.5*((($F13-2004)/3)-2)^3,IF($F13&lt;=2013,2/3-((($F13-2004)/3)-2)^2+0.5*((($F13-2004)/3)-2)^3,IF($F13&lt;=2016,(4-(($F13-2004)/3))^3/6,0)))))</f>
        <v>0</v>
      </c>
      <c r="R13" s="16">
        <f>IF($F13&lt;=2007,0,IF($F13&lt;=2010,(($F13-2007)/3)^3/6,IF($F13&lt;=2013,2/3-((($F13-2007)/3)-2)^2-0.5*((($F13-2007)/3)-2)^3,IF($F13&lt;=2016,2/3-((($F13-2007)/3)-2)^2+0.5*((($F13-2007)/3)-2)^3,IF($F13&lt;=2019,(4-(($F13-2007)/3))^3/6,0)))))</f>
        <v>0</v>
      </c>
      <c r="S13" s="16">
        <f>IF($F13&lt;=2010,0,IF($F13&lt;=2013,(($F13-2010)/3)^3/6,IF($F13&lt;=2016,2/3-((($F13-2010)/3)-2)^2-0.5*((($F13-2010)/3)-2)^3,IF($F13&lt;=2019,2/3-((($F13-2010)/3)-2)^2+0.5*((($F13-2010)/3)-2)^3,IF($F13&lt;=2022,(4-(($F13-2010)/3))^3/6,0)))))</f>
        <v>0</v>
      </c>
      <c r="T13" s="16">
        <f>IF($F13&lt;=2013,0,IF($F13&lt;=2016,(($F13-2013)/3)^3/6,IF($F13&lt;=2019,2/3-((($F13-2013)/3)-2)^2-0.5*((($F13-2013)/3)-2)^3,IF($F13&lt;=2022,2/3-((($F13-2013)/3)-2)^2+0.5*((($F13-2013)/3)-2)^3,IF($F13&lt;=2025,(4-(($F13-2013)/3))^3/6,0)))))</f>
        <v>0</v>
      </c>
      <c r="U13" s="16">
        <f>IF($F13&lt;=2016,0,IF($F13&lt;=2019,(($F13-2016)/3)^3/6,IF($F13&lt;=2022,2/3-((($F13-2016)/3)-2)^2-0.5*((($F13-2016)/3)-2)^3,IF($F13&lt;=2025,2/3-((($F13-2016)/3)-2)^2+0.5*((($F13-2016)/3)-2)^3,IF($F13&lt;=2028,(4-(($F13-2016)/3))^3/6,0)))))</f>
        <v>0</v>
      </c>
    </row>
    <row r="14">
      <c r="A14" s="18" t="n">
        <v>2007</v>
      </c>
      <c r="B14" s="16">
        <f>2*B13-B12</f>
        <v>-4.4260927350396599</v>
      </c>
      <c r="C14" s="16">
        <f>B14-B13</f>
        <v>-0.107378383851064</v>
      </c>
      <c r="D14" s="16">
        <f>C14-C13</f>
        <v>0</v>
      </c>
      <c r="F14" s="18" t="n">
        <v>2002</v>
      </c>
      <c r="H14" s="16">
        <f>SUMPRODUCT(K14:U14,$K$5:$U$5)</f>
        <v>-4.0307784955706101</v>
      </c>
      <c r="I14" s="16">
        <f>EXP(H14)</f>
        <v>0.017760498101236401</v>
      </c>
      <c r="J14" s="15" t="inlineStr">
        <is>
          <t>Fitted</t>
        </is>
      </c>
      <c r="K14" s="16">
        <f>IF($F14&lt;=1986,0,IF($F14&lt;=1989,(($F14-1986)/3)^3/6,IF($F14&lt;=1992,2/3-((($F14-1986)/3)-2)^2-0.5*((($F14-1986)/3)-2)^3,IF($F14&lt;=1995,2/3-((($F14-1986)/3)-2)^2+0.5*((($F14-1986)/3)-2)^3,IF($F14&lt;=1998,(4-(($F14-1986)/3))^3/6,0)))))</f>
        <v>0</v>
      </c>
      <c r="L14" s="16">
        <f>IF($F14&lt;=1989,0,IF($F14&lt;=1992,(($F14-1989)/3)^3/6,IF($F14&lt;=1995,2/3-((($F14-1989)/3)-2)^2-0.5*((($F14-1989)/3)-2)^3,IF($F14&lt;=1998,2/3-((($F14-1989)/3)-2)^2+0.5*((($F14-1989)/3)-2)^3,IF($F14&lt;=2001,(4-(($F14-1989)/3))^3/6,0)))))</f>
        <v>0</v>
      </c>
      <c r="M14" s="16">
        <f>IF($F14&lt;=1992,0,IF($F14&lt;=1995,(($F14-1992)/3)^3/6,IF($F14&lt;=1998,2/3-((($F14-1992)/3)-2)^2-0.5*((($F14-1992)/3)-2)^3,IF($F14&lt;=2001,2/3-((($F14-1992)/3)-2)^2+0.5*((($F14-1992)/3)-2)^3,IF($F14&lt;=2004,(4-(($F14-1992)/3))^3/6,0)))))</f>
        <v>0.049382716049382699</v>
      </c>
      <c r="N14" s="16">
        <f>IF($F14&lt;=1995,0,IF($F14&lt;=1998,(($F14-1995)/3)^3/6,IF($F14&lt;=2001,2/3-((($F14-1995)/3)-2)^2-0.5*((($F14-1995)/3)-2)^3,IF($F14&lt;=2004,2/3-((($F14-1995)/3)-2)^2+0.5*((($F14-1995)/3)-2)^3,IF($F14&lt;=2007,(4-(($F14-1995)/3))^3/6,0)))))</f>
        <v>0.57407407407407396</v>
      </c>
      <c r="O14" s="16">
        <f>IF($F14&lt;=1998,0,IF($F14&lt;=2001,(($F14-1998)/3)^3/6,IF($F14&lt;=2004,2/3-((($F14-1998)/3)-2)^2-0.5*((($F14-1998)/3)-2)^3,IF($F14&lt;=2007,2/3-((($F14-1998)/3)-2)^2+0.5*((($F14-1998)/3)-2)^3,IF($F14&lt;=2010,(4-(($F14-1998)/3))^3/6,0)))))</f>
        <v>0.37037037037037002</v>
      </c>
      <c r="P14" s="16">
        <f>IF($F14&lt;=2001,0,IF($F14&lt;=2004,(($F14-2001)/3)^3/6,IF($F14&lt;=2007,2/3-((($F14-2001)/3)-2)^2-0.5*((($F14-2001)/3)-2)^3,IF($F14&lt;=2010,2/3-((($F14-2001)/3)-2)^2+0.5*((($F14-2001)/3)-2)^3,IF($F14&lt;=2013,(4-(($F14-2001)/3))^3/6,0)))))</f>
        <v>0.00617283950617284</v>
      </c>
      <c r="Q14" s="16">
        <f>IF($F14&lt;=2004,0,IF($F14&lt;=2007,(($F14-2004)/3)^3/6,IF($F14&lt;=2010,2/3-((($F14-2004)/3)-2)^2-0.5*((($F14-2004)/3)-2)^3,IF($F14&lt;=2013,2/3-((($F14-2004)/3)-2)^2+0.5*((($F14-2004)/3)-2)^3,IF($F14&lt;=2016,(4-(($F14-2004)/3))^3/6,0)))))</f>
        <v>0</v>
      </c>
      <c r="R14" s="16">
        <f>IF($F14&lt;=2007,0,IF($F14&lt;=2010,(($F14-2007)/3)^3/6,IF($F14&lt;=2013,2/3-((($F14-2007)/3)-2)^2-0.5*((($F14-2007)/3)-2)^3,IF($F14&lt;=2016,2/3-((($F14-2007)/3)-2)^2+0.5*((($F14-2007)/3)-2)^3,IF($F14&lt;=2019,(4-(($F14-2007)/3))^3/6,0)))))</f>
        <v>0</v>
      </c>
      <c r="S14" s="16">
        <f>IF($F14&lt;=2010,0,IF($F14&lt;=2013,(($F14-2010)/3)^3/6,IF($F14&lt;=2016,2/3-((($F14-2010)/3)-2)^2-0.5*((($F14-2010)/3)-2)^3,IF($F14&lt;=2019,2/3-((($F14-2010)/3)-2)^2+0.5*((($F14-2010)/3)-2)^3,IF($F14&lt;=2022,(4-(($F14-2010)/3))^3/6,0)))))</f>
        <v>0</v>
      </c>
      <c r="T14" s="16">
        <f>IF($F14&lt;=2013,0,IF($F14&lt;=2016,(($F14-2013)/3)^3/6,IF($F14&lt;=2019,2/3-((($F14-2013)/3)-2)^2-0.5*((($F14-2013)/3)-2)^3,IF($F14&lt;=2022,2/3-((($F14-2013)/3)-2)^2+0.5*((($F14-2013)/3)-2)^3,IF($F14&lt;=2025,(4-(($F14-2013)/3))^3/6,0)))))</f>
        <v>0</v>
      </c>
      <c r="U14" s="16">
        <f>IF($F14&lt;=2016,0,IF($F14&lt;=2019,(($F14-2016)/3)^3/6,IF($F14&lt;=2022,2/3-((($F14-2016)/3)-2)^2-0.5*((($F14-2016)/3)-2)^3,IF($F14&lt;=2025,2/3-((($F14-2016)/3)-2)^2+0.5*((($F14-2016)/3)-2)^3,IF($F14&lt;=2028,(4-(($F14-2016)/3))^3/6,0)))))</f>
        <v>0</v>
      </c>
    </row>
    <row r="15">
      <c r="A15" s="18" t="n">
        <v>2010</v>
      </c>
      <c r="B15" s="16">
        <f>2*B14-B13</f>
        <v>-4.53347111889072</v>
      </c>
      <c r="C15" s="16">
        <f>B15-B14</f>
        <v>-0.107378383851064</v>
      </c>
      <c r="D15" s="16">
        <f>C15-C14</f>
        <v>0</v>
      </c>
      <c r="F15" s="18" t="n">
        <v>2003</v>
      </c>
      <c r="H15" s="16">
        <f>SUMPRODUCT(K15:U15,$K$5:$U$5)</f>
        <v>-4.0674370598801097</v>
      </c>
      <c r="I15" s="16">
        <f>EXP(H15)</f>
        <v>0.0171212129673778</v>
      </c>
      <c r="J15" s="15" t="inlineStr">
        <is>
          <t>Fitted</t>
        </is>
      </c>
      <c r="K15" s="16">
        <f>IF($F15&lt;=1986,0,IF($F15&lt;=1989,(($F15-1986)/3)^3/6,IF($F15&lt;=1992,2/3-((($F15-1986)/3)-2)^2-0.5*((($F15-1986)/3)-2)^3,IF($F15&lt;=1995,2/3-((($F15-1986)/3)-2)^2+0.5*((($F15-1986)/3)-2)^3,IF($F15&lt;=1998,(4-(($F15-1986)/3))^3/6,0)))))</f>
        <v>0</v>
      </c>
      <c r="L15" s="16">
        <f>IF($F15&lt;=1989,0,IF($F15&lt;=1992,(($F15-1989)/3)^3/6,IF($F15&lt;=1995,2/3-((($F15-1989)/3)-2)^2-0.5*((($F15-1989)/3)-2)^3,IF($F15&lt;=1998,2/3-((($F15-1989)/3)-2)^2+0.5*((($F15-1989)/3)-2)^3,IF($F15&lt;=2001,(4-(($F15-1989)/3))^3/6,0)))))</f>
        <v>0</v>
      </c>
      <c r="M15" s="16">
        <f>IF($F15&lt;=1992,0,IF($F15&lt;=1995,(($F15-1992)/3)^3/6,IF($F15&lt;=1998,2/3-((($F15-1992)/3)-2)^2-0.5*((($F15-1992)/3)-2)^3,IF($F15&lt;=2001,2/3-((($F15-1992)/3)-2)^2+0.5*((($F15-1992)/3)-2)^3,IF($F15&lt;=2004,(4-(($F15-1992)/3))^3/6,0)))))</f>
        <v>0.00617283950617284</v>
      </c>
      <c r="N15" s="16">
        <f>IF($F15&lt;=1995,0,IF($F15&lt;=1998,(($F15-1995)/3)^3/6,IF($F15&lt;=2001,2/3-((($F15-1995)/3)-2)^2-0.5*((($F15-1995)/3)-2)^3,IF($F15&lt;=2004,2/3-((($F15-1995)/3)-2)^2+0.5*((($F15-1995)/3)-2)^3,IF($F15&lt;=2007,(4-(($F15-1995)/3))^3/6,0)))))</f>
        <v>0.37037037037037002</v>
      </c>
      <c r="O15" s="16">
        <f>IF($F15&lt;=1998,0,IF($F15&lt;=2001,(($F15-1998)/3)^3/6,IF($F15&lt;=2004,2/3-((($F15-1998)/3)-2)^2-0.5*((($F15-1998)/3)-2)^3,IF($F15&lt;=2007,2/3-((($F15-1998)/3)-2)^2+0.5*((($F15-1998)/3)-2)^3,IF($F15&lt;=2010,(4-(($F15-1998)/3))^3/6,0)))))</f>
        <v>0.57407407407407396</v>
      </c>
      <c r="P15" s="16">
        <f>IF($F15&lt;=2001,0,IF($F15&lt;=2004,(($F15-2001)/3)^3/6,IF($F15&lt;=2007,2/3-((($F15-2001)/3)-2)^2-0.5*((($F15-2001)/3)-2)^3,IF($F15&lt;=2010,2/3-((($F15-2001)/3)-2)^2+0.5*((($F15-2001)/3)-2)^3,IF($F15&lt;=2013,(4-(($F15-2001)/3))^3/6,0)))))</f>
        <v>0.049382716049382699</v>
      </c>
      <c r="Q15" s="16">
        <f>IF($F15&lt;=2004,0,IF($F15&lt;=2007,(($F15-2004)/3)^3/6,IF($F15&lt;=2010,2/3-((($F15-2004)/3)-2)^2-0.5*((($F15-2004)/3)-2)^3,IF($F15&lt;=2013,2/3-((($F15-2004)/3)-2)^2+0.5*((($F15-2004)/3)-2)^3,IF($F15&lt;=2016,(4-(($F15-2004)/3))^3/6,0)))))</f>
        <v>0</v>
      </c>
      <c r="R15" s="16">
        <f>IF($F15&lt;=2007,0,IF($F15&lt;=2010,(($F15-2007)/3)^3/6,IF($F15&lt;=2013,2/3-((($F15-2007)/3)-2)^2-0.5*((($F15-2007)/3)-2)^3,IF($F15&lt;=2016,2/3-((($F15-2007)/3)-2)^2+0.5*((($F15-2007)/3)-2)^3,IF($F15&lt;=2019,(4-(($F15-2007)/3))^3/6,0)))))</f>
        <v>0</v>
      </c>
      <c r="S15" s="16">
        <f>IF($F15&lt;=2010,0,IF($F15&lt;=2013,(($F15-2010)/3)^3/6,IF($F15&lt;=2016,2/3-((($F15-2010)/3)-2)^2-0.5*((($F15-2010)/3)-2)^3,IF($F15&lt;=2019,2/3-((($F15-2010)/3)-2)^2+0.5*((($F15-2010)/3)-2)^3,IF($F15&lt;=2022,(4-(($F15-2010)/3))^3/6,0)))))</f>
        <v>0</v>
      </c>
      <c r="T15" s="16">
        <f>IF($F15&lt;=2013,0,IF($F15&lt;=2016,(($F15-2013)/3)^3/6,IF($F15&lt;=2019,2/3-((($F15-2013)/3)-2)^2-0.5*((($F15-2013)/3)-2)^3,IF($F15&lt;=2022,2/3-((($F15-2013)/3)-2)^2+0.5*((($F15-2013)/3)-2)^3,IF($F15&lt;=2025,(4-(($F15-2013)/3))^3/6,0)))))</f>
        <v>0</v>
      </c>
      <c r="U15" s="16">
        <f>IF($F15&lt;=2016,0,IF($F15&lt;=2019,(($F15-2016)/3)^3/6,IF($F15&lt;=2022,2/3-((($F15-2016)/3)-2)^2-0.5*((($F15-2016)/3)-2)^3,IF($F15&lt;=2025,2/3-((($F15-2016)/3)-2)^2+0.5*((($F15-2016)/3)-2)^3,IF($F15&lt;=2028,(4-(($F15-2016)/3))^3/6,0)))))</f>
        <v>0</v>
      </c>
    </row>
    <row r="16">
      <c r="A16" s="18" t="n">
        <v>2013</v>
      </c>
      <c r="B16" s="16">
        <f>2*B15-B14</f>
        <v>-4.64084950274178</v>
      </c>
      <c r="C16" s="16">
        <f>B16-B15</f>
        <v>-0.107378383851064</v>
      </c>
      <c r="D16" s="16">
        <f>C16-C15</f>
        <v>0</v>
      </c>
      <c r="F16" s="18" t="n">
        <v>2004</v>
      </c>
      <c r="G16" s="16">
        <f>'Q2(b)_M1'!B11</f>
        <v>0.0166</v>
      </c>
      <c r="H16" s="16">
        <f>SUMPRODUCT(K16:U16,$K$5:$U$5)</f>
        <v>-4.1036625834934801</v>
      </c>
      <c r="I16" s="16">
        <f>EXP(H16)</f>
        <v>0.016512087616033601</v>
      </c>
      <c r="J16" s="15" t="inlineStr">
        <is>
          <t>Fitted</t>
        </is>
      </c>
      <c r="K16" s="16">
        <f>IF($F16&lt;=1986,0,IF($F16&lt;=1989,(($F16-1986)/3)^3/6,IF($F16&lt;=1992,2/3-((($F16-1986)/3)-2)^2-0.5*((($F16-1986)/3)-2)^3,IF($F16&lt;=1995,2/3-((($F16-1986)/3)-2)^2+0.5*((($F16-1986)/3)-2)^3,IF($F16&lt;=1998,(4-(($F16-1986)/3))^3/6,0)))))</f>
        <v>0</v>
      </c>
      <c r="L16" s="16">
        <f>IF($F16&lt;=1989,0,IF($F16&lt;=1992,(($F16-1989)/3)^3/6,IF($F16&lt;=1995,2/3-((($F16-1989)/3)-2)^2-0.5*((($F16-1989)/3)-2)^3,IF($F16&lt;=1998,2/3-((($F16-1989)/3)-2)^2+0.5*((($F16-1989)/3)-2)^3,IF($F16&lt;=2001,(4-(($F16-1989)/3))^3/6,0)))))</f>
        <v>0</v>
      </c>
      <c r="M16" s="16">
        <f>IF($F16&lt;=1992,0,IF($F16&lt;=1995,(($F16-1992)/3)^3/6,IF($F16&lt;=1998,2/3-((($F16-1992)/3)-2)^2-0.5*((($F16-1992)/3)-2)^3,IF($F16&lt;=2001,2/3-((($F16-1992)/3)-2)^2+0.5*((($F16-1992)/3)-2)^3,IF($F16&lt;=2004,(4-(($F16-1992)/3))^3/6,0)))))</f>
        <v>0</v>
      </c>
      <c r="N16" s="16">
        <f>IF($F16&lt;=1995,0,IF($F16&lt;=1998,(($F16-1995)/3)^3/6,IF($F16&lt;=2001,2/3-((($F16-1995)/3)-2)^2-0.5*((($F16-1995)/3)-2)^3,IF($F16&lt;=2004,2/3-((($F16-1995)/3)-2)^2+0.5*((($F16-1995)/3)-2)^3,IF($F16&lt;=2007,(4-(($F16-1995)/3))^3/6,0)))))</f>
        <v>0.16666666666666699</v>
      </c>
      <c r="O16" s="16">
        <f>IF($F16&lt;=1998,0,IF($F16&lt;=2001,(($F16-1998)/3)^3/6,IF($F16&lt;=2004,2/3-((($F16-1998)/3)-2)^2-0.5*((($F16-1998)/3)-2)^3,IF($F16&lt;=2007,2/3-((($F16-1998)/3)-2)^2+0.5*((($F16-1998)/3)-2)^3,IF($F16&lt;=2010,(4-(($F16-1998)/3))^3/6,0)))))</f>
        <v>0.66666666666666696</v>
      </c>
      <c r="P16" s="16">
        <f>IF($F16&lt;=2001,0,IF($F16&lt;=2004,(($F16-2001)/3)^3/6,IF($F16&lt;=2007,2/3-((($F16-2001)/3)-2)^2-0.5*((($F16-2001)/3)-2)^3,IF($F16&lt;=2010,2/3-((($F16-2001)/3)-2)^2+0.5*((($F16-2001)/3)-2)^3,IF($F16&lt;=2013,(4-(($F16-2001)/3))^3/6,0)))))</f>
        <v>0.16666666666666699</v>
      </c>
      <c r="Q16" s="16">
        <f>IF($F16&lt;=2004,0,IF($F16&lt;=2007,(($F16-2004)/3)^3/6,IF($F16&lt;=2010,2/3-((($F16-2004)/3)-2)^2-0.5*((($F16-2004)/3)-2)^3,IF($F16&lt;=2013,2/3-((($F16-2004)/3)-2)^2+0.5*((($F16-2004)/3)-2)^3,IF($F16&lt;=2016,(4-(($F16-2004)/3))^3/6,0)))))</f>
        <v>0</v>
      </c>
      <c r="R16" s="16">
        <f>IF($F16&lt;=2007,0,IF($F16&lt;=2010,(($F16-2007)/3)^3/6,IF($F16&lt;=2013,2/3-((($F16-2007)/3)-2)^2-0.5*((($F16-2007)/3)-2)^3,IF($F16&lt;=2016,2/3-((($F16-2007)/3)-2)^2+0.5*((($F16-2007)/3)-2)^3,IF($F16&lt;=2019,(4-(($F16-2007)/3))^3/6,0)))))</f>
        <v>0</v>
      </c>
      <c r="S16" s="16">
        <f>IF($F16&lt;=2010,0,IF($F16&lt;=2013,(($F16-2010)/3)^3/6,IF($F16&lt;=2016,2/3-((($F16-2010)/3)-2)^2-0.5*((($F16-2010)/3)-2)^3,IF($F16&lt;=2019,2/3-((($F16-2010)/3)-2)^2+0.5*((($F16-2010)/3)-2)^3,IF($F16&lt;=2022,(4-(($F16-2010)/3))^3/6,0)))))</f>
        <v>0</v>
      </c>
      <c r="T16" s="16">
        <f>IF($F16&lt;=2013,0,IF($F16&lt;=2016,(($F16-2013)/3)^3/6,IF($F16&lt;=2019,2/3-((($F16-2013)/3)-2)^2-0.5*((($F16-2013)/3)-2)^3,IF($F16&lt;=2022,2/3-((($F16-2013)/3)-2)^2+0.5*((($F16-2013)/3)-2)^3,IF($F16&lt;=2025,(4-(($F16-2013)/3))^3/6,0)))))</f>
        <v>0</v>
      </c>
      <c r="U16" s="16">
        <f>IF($F16&lt;=2016,0,IF($F16&lt;=2019,(($F16-2016)/3)^3/6,IF($F16&lt;=2022,2/3-((($F16-2016)/3)-2)^2-0.5*((($F16-2016)/3)-2)^3,IF($F16&lt;=2025,2/3-((($F16-2016)/3)-2)^2+0.5*((($F16-2016)/3)-2)^3,IF($F16&lt;=2028,(4-(($F16-2016)/3))^3/6,0)))))</f>
        <v>0</v>
      </c>
    </row>
    <row r="17">
      <c r="A17" s="18" t="n">
        <v>2016</v>
      </c>
      <c r="B17" s="16">
        <f>2*B16-B15</f>
        <v>-4.7482278865928498</v>
      </c>
      <c r="C17" s="16">
        <f>B17-B16</f>
        <v>-0.107378383851064</v>
      </c>
      <c r="D17" s="16">
        <f>C17-C16</f>
        <v>0</v>
      </c>
      <c r="F17" s="18" t="n">
        <v>2005</v>
      </c>
      <c r="H17" s="16">
        <f>SUMPRODUCT(K17:U17,$K$5:$U$5)</f>
        <v>-4.1396629706981596</v>
      </c>
      <c r="I17" s="16">
        <f>EXP(H17)</f>
        <v>0.015928218876467601</v>
      </c>
      <c r="J17" s="15" t="inlineStr">
        <is>
          <t>Projected</t>
        </is>
      </c>
      <c r="K17" s="16">
        <f>IF($F17&lt;=1986,0,IF($F17&lt;=1989,(($F17-1986)/3)^3/6,IF($F17&lt;=1992,2/3-((($F17-1986)/3)-2)^2-0.5*((($F17-1986)/3)-2)^3,IF($F17&lt;=1995,2/3-((($F17-1986)/3)-2)^2+0.5*((($F17-1986)/3)-2)^3,IF($F17&lt;=1998,(4-(($F17-1986)/3))^3/6,0)))))</f>
        <v>0</v>
      </c>
      <c r="L17" s="16">
        <f>IF($F17&lt;=1989,0,IF($F17&lt;=1992,(($F17-1989)/3)^3/6,IF($F17&lt;=1995,2/3-((($F17-1989)/3)-2)^2-0.5*((($F17-1989)/3)-2)^3,IF($F17&lt;=1998,2/3-((($F17-1989)/3)-2)^2+0.5*((($F17-1989)/3)-2)^3,IF($F17&lt;=2001,(4-(($F17-1989)/3))^3/6,0)))))</f>
        <v>0</v>
      </c>
      <c r="M17" s="16">
        <f>IF($F17&lt;=1992,0,IF($F17&lt;=1995,(($F17-1992)/3)^3/6,IF($F17&lt;=1998,2/3-((($F17-1992)/3)-2)^2-0.5*((($F17-1992)/3)-2)^3,IF($F17&lt;=2001,2/3-((($F17-1992)/3)-2)^2+0.5*((($F17-1992)/3)-2)^3,IF($F17&lt;=2004,(4-(($F17-1992)/3))^3/6,0)))))</f>
        <v>0</v>
      </c>
      <c r="N17" s="16">
        <f>IF($F17&lt;=1995,0,IF($F17&lt;=1998,(($F17-1995)/3)^3/6,IF($F17&lt;=2001,2/3-((($F17-1995)/3)-2)^2-0.5*((($F17-1995)/3)-2)^3,IF($F17&lt;=2004,2/3-((($F17-1995)/3)-2)^2+0.5*((($F17-1995)/3)-2)^3,IF($F17&lt;=2007,(4-(($F17-1995)/3))^3/6,0)))))</f>
        <v>0.049382716049382699</v>
      </c>
      <c r="O17" s="16">
        <f>IF($F17&lt;=1998,0,IF($F17&lt;=2001,(($F17-1998)/3)^3/6,IF($F17&lt;=2004,2/3-((($F17-1998)/3)-2)^2-0.5*((($F17-1998)/3)-2)^3,IF($F17&lt;=2007,2/3-((($F17-1998)/3)-2)^2+0.5*((($F17-1998)/3)-2)^3,IF($F17&lt;=2010,(4-(($F17-1998)/3))^3/6,0)))))</f>
        <v>0.57407407407407396</v>
      </c>
      <c r="P17" s="16">
        <f>IF($F17&lt;=2001,0,IF($F17&lt;=2004,(($F17-2001)/3)^3/6,IF($F17&lt;=2007,2/3-((($F17-2001)/3)-2)^2-0.5*((($F17-2001)/3)-2)^3,IF($F17&lt;=2010,2/3-((($F17-2001)/3)-2)^2+0.5*((($F17-2001)/3)-2)^3,IF($F17&lt;=2013,(4-(($F17-2001)/3))^3/6,0)))))</f>
        <v>0.37037037037037002</v>
      </c>
      <c r="Q17" s="16">
        <f>IF($F17&lt;=2004,0,IF($F17&lt;=2007,(($F17-2004)/3)^3/6,IF($F17&lt;=2010,2/3-((($F17-2004)/3)-2)^2-0.5*((($F17-2004)/3)-2)^3,IF($F17&lt;=2013,2/3-((($F17-2004)/3)-2)^2+0.5*((($F17-2004)/3)-2)^3,IF($F17&lt;=2016,(4-(($F17-2004)/3))^3/6,0)))))</f>
        <v>0.00617283950617284</v>
      </c>
      <c r="R17" s="16">
        <f>IF($F17&lt;=2007,0,IF($F17&lt;=2010,(($F17-2007)/3)^3/6,IF($F17&lt;=2013,2/3-((($F17-2007)/3)-2)^2-0.5*((($F17-2007)/3)-2)^3,IF($F17&lt;=2016,2/3-((($F17-2007)/3)-2)^2+0.5*((($F17-2007)/3)-2)^3,IF($F17&lt;=2019,(4-(($F17-2007)/3))^3/6,0)))))</f>
        <v>0</v>
      </c>
      <c r="S17" s="16">
        <f>IF($F17&lt;=2010,0,IF($F17&lt;=2013,(($F17-2010)/3)^3/6,IF($F17&lt;=2016,2/3-((($F17-2010)/3)-2)^2-0.5*((($F17-2010)/3)-2)^3,IF($F17&lt;=2019,2/3-((($F17-2010)/3)-2)^2+0.5*((($F17-2010)/3)-2)^3,IF($F17&lt;=2022,(4-(($F17-2010)/3))^3/6,0)))))</f>
        <v>0</v>
      </c>
      <c r="T17" s="16">
        <f>IF($F17&lt;=2013,0,IF($F17&lt;=2016,(($F17-2013)/3)^3/6,IF($F17&lt;=2019,2/3-((($F17-2013)/3)-2)^2-0.5*((($F17-2013)/3)-2)^3,IF($F17&lt;=2022,2/3-((($F17-2013)/3)-2)^2+0.5*((($F17-2013)/3)-2)^3,IF($F17&lt;=2025,(4-(($F17-2013)/3))^3/6,0)))))</f>
        <v>0</v>
      </c>
      <c r="U17" s="16">
        <f>IF($F17&lt;=2016,0,IF($F17&lt;=2019,(($F17-2016)/3)^3/6,IF($F17&lt;=2022,2/3-((($F17-2016)/3)-2)^2-0.5*((($F17-2016)/3)-2)^3,IF($F17&lt;=2025,2/3-((($F17-2016)/3)-2)^2+0.5*((($F17-2016)/3)-2)^3,IF($F17&lt;=2028,(4-(($F17-2016)/3))^3/6,0)))))</f>
        <v>0</v>
      </c>
    </row>
    <row r="18">
      <c r="A18" s="19" t="n"/>
      <c r="F18" s="18" t="n">
        <v>2006</v>
      </c>
      <c r="H18" s="16">
        <f>SUMPRODUCT(K18:U18,$K$5:$U$5)</f>
        <v>-4.1755322467948401</v>
      </c>
      <c r="I18" s="16">
        <f>EXP(H18)</f>
        <v>0.0153670104359499</v>
      </c>
      <c r="J18" s="15" t="inlineStr">
        <is>
          <t>Projected</t>
        </is>
      </c>
      <c r="K18" s="16">
        <f>IF($F18&lt;=1986,0,IF($F18&lt;=1989,(($F18-1986)/3)^3/6,IF($F18&lt;=1992,2/3-((($F18-1986)/3)-2)^2-0.5*((($F18-1986)/3)-2)^3,IF($F18&lt;=1995,2/3-((($F18-1986)/3)-2)^2+0.5*((($F18-1986)/3)-2)^3,IF($F18&lt;=1998,(4-(($F18-1986)/3))^3/6,0)))))</f>
        <v>0</v>
      </c>
      <c r="L18" s="16">
        <f>IF($F18&lt;=1989,0,IF($F18&lt;=1992,(($F18-1989)/3)^3/6,IF($F18&lt;=1995,2/3-((($F18-1989)/3)-2)^2-0.5*((($F18-1989)/3)-2)^3,IF($F18&lt;=1998,2/3-((($F18-1989)/3)-2)^2+0.5*((($F18-1989)/3)-2)^3,IF($F18&lt;=2001,(4-(($F18-1989)/3))^3/6,0)))))</f>
        <v>0</v>
      </c>
      <c r="M18" s="16">
        <f>IF($F18&lt;=1992,0,IF($F18&lt;=1995,(($F18-1992)/3)^3/6,IF($F18&lt;=1998,2/3-((($F18-1992)/3)-2)^2-0.5*((($F18-1992)/3)-2)^3,IF($F18&lt;=2001,2/3-((($F18-1992)/3)-2)^2+0.5*((($F18-1992)/3)-2)^3,IF($F18&lt;=2004,(4-(($F18-1992)/3))^3/6,0)))))</f>
        <v>0</v>
      </c>
      <c r="N18" s="16">
        <f>IF($F18&lt;=1995,0,IF($F18&lt;=1998,(($F18-1995)/3)^3/6,IF($F18&lt;=2001,2/3-((($F18-1995)/3)-2)^2-0.5*((($F18-1995)/3)-2)^3,IF($F18&lt;=2004,2/3-((($F18-1995)/3)-2)^2+0.5*((($F18-1995)/3)-2)^3,IF($F18&lt;=2007,(4-(($F18-1995)/3))^3/6,0)))))</f>
        <v>0.00617283950617284</v>
      </c>
      <c r="O18" s="16">
        <f>IF($F18&lt;=1998,0,IF($F18&lt;=2001,(($F18-1998)/3)^3/6,IF($F18&lt;=2004,2/3-((($F18-1998)/3)-2)^2-0.5*((($F18-1998)/3)-2)^3,IF($F18&lt;=2007,2/3-((($F18-1998)/3)-2)^2+0.5*((($F18-1998)/3)-2)^3,IF($F18&lt;=2010,(4-(($F18-1998)/3))^3/6,0)))))</f>
        <v>0.37037037037037002</v>
      </c>
      <c r="P18" s="16">
        <f>IF($F18&lt;=2001,0,IF($F18&lt;=2004,(($F18-2001)/3)^3/6,IF($F18&lt;=2007,2/3-((($F18-2001)/3)-2)^2-0.5*((($F18-2001)/3)-2)^3,IF($F18&lt;=2010,2/3-((($F18-2001)/3)-2)^2+0.5*((($F18-2001)/3)-2)^3,IF($F18&lt;=2013,(4-(($F18-2001)/3))^3/6,0)))))</f>
        <v>0.57407407407407396</v>
      </c>
      <c r="Q18" s="16">
        <f>IF($F18&lt;=2004,0,IF($F18&lt;=2007,(($F18-2004)/3)^3/6,IF($F18&lt;=2010,2/3-((($F18-2004)/3)-2)^2-0.5*((($F18-2004)/3)-2)^3,IF($F18&lt;=2013,2/3-((($F18-2004)/3)-2)^2+0.5*((($F18-2004)/3)-2)^3,IF($F18&lt;=2016,(4-(($F18-2004)/3))^3/6,0)))))</f>
        <v>0.049382716049382699</v>
      </c>
      <c r="R18" s="16">
        <f>IF($F18&lt;=2007,0,IF($F18&lt;=2010,(($F18-2007)/3)^3/6,IF($F18&lt;=2013,2/3-((($F18-2007)/3)-2)^2-0.5*((($F18-2007)/3)-2)^3,IF($F18&lt;=2016,2/3-((($F18-2007)/3)-2)^2+0.5*((($F18-2007)/3)-2)^3,IF($F18&lt;=2019,(4-(($F18-2007)/3))^3/6,0)))))</f>
        <v>0</v>
      </c>
      <c r="S18" s="16">
        <f>IF($F18&lt;=2010,0,IF($F18&lt;=2013,(($F18-2010)/3)^3/6,IF($F18&lt;=2016,2/3-((($F18-2010)/3)-2)^2-0.5*((($F18-2010)/3)-2)^3,IF($F18&lt;=2019,2/3-((($F18-2010)/3)-2)^2+0.5*((($F18-2010)/3)-2)^3,IF($F18&lt;=2022,(4-(($F18-2010)/3))^3/6,0)))))</f>
        <v>0</v>
      </c>
      <c r="T18" s="16">
        <f>IF($F18&lt;=2013,0,IF($F18&lt;=2016,(($F18-2013)/3)^3/6,IF($F18&lt;=2019,2/3-((($F18-2013)/3)-2)^2-0.5*((($F18-2013)/3)-2)^3,IF($F18&lt;=2022,2/3-((($F18-2013)/3)-2)^2+0.5*((($F18-2013)/3)-2)^3,IF($F18&lt;=2025,(4-(($F18-2013)/3))^3/6,0)))))</f>
        <v>0</v>
      </c>
      <c r="U18" s="16">
        <f>IF($F18&lt;=2016,0,IF($F18&lt;=2019,(($F18-2016)/3)^3/6,IF($F18&lt;=2022,2/3-((($F18-2016)/3)-2)^2-0.5*((($F18-2016)/3)-2)^3,IF($F18&lt;=2025,2/3-((($F18-2016)/3)-2)^2+0.5*((($F18-2016)/3)-2)^3,IF($F18&lt;=2028,(4-(($F18-2016)/3))^3/6,0)))))</f>
        <v>0</v>
      </c>
    </row>
    <row r="19">
      <c r="A19" s="19" t="n"/>
      <c r="F19" s="18" t="n">
        <v>2007</v>
      </c>
      <c r="H19" s="16">
        <f>SUMPRODUCT(K19:U19,$K$5:$U$5)</f>
        <v>-4.2113359673375301</v>
      </c>
      <c r="I19" s="16">
        <f>EXP(H19)</f>
        <v>0.014826547317972</v>
      </c>
      <c r="J19" s="15" t="inlineStr">
        <is>
          <t>Projected</t>
        </is>
      </c>
      <c r="K19" s="16">
        <f>IF($F19&lt;=1986,0,IF($F19&lt;=1989,(($F19-1986)/3)^3/6,IF($F19&lt;=1992,2/3-((($F19-1986)/3)-2)^2-0.5*((($F19-1986)/3)-2)^3,IF($F19&lt;=1995,2/3-((($F19-1986)/3)-2)^2+0.5*((($F19-1986)/3)-2)^3,IF($F19&lt;=1998,(4-(($F19-1986)/3))^3/6,0)))))</f>
        <v>0</v>
      </c>
      <c r="L19" s="16">
        <f>IF($F19&lt;=1989,0,IF($F19&lt;=1992,(($F19-1989)/3)^3/6,IF($F19&lt;=1995,2/3-((($F19-1989)/3)-2)^2-0.5*((($F19-1989)/3)-2)^3,IF($F19&lt;=1998,2/3-((($F19-1989)/3)-2)^2+0.5*((($F19-1989)/3)-2)^3,IF($F19&lt;=2001,(4-(($F19-1989)/3))^3/6,0)))))</f>
        <v>0</v>
      </c>
      <c r="M19" s="16">
        <f>IF($F19&lt;=1992,0,IF($F19&lt;=1995,(($F19-1992)/3)^3/6,IF($F19&lt;=1998,2/3-((($F19-1992)/3)-2)^2-0.5*((($F19-1992)/3)-2)^3,IF($F19&lt;=2001,2/3-((($F19-1992)/3)-2)^2+0.5*((($F19-1992)/3)-2)^3,IF($F19&lt;=2004,(4-(($F19-1992)/3))^3/6,0)))))</f>
        <v>0</v>
      </c>
      <c r="N19" s="16">
        <f>IF($F19&lt;=1995,0,IF($F19&lt;=1998,(($F19-1995)/3)^3/6,IF($F19&lt;=2001,2/3-((($F19-1995)/3)-2)^2-0.5*((($F19-1995)/3)-2)^3,IF($F19&lt;=2004,2/3-((($F19-1995)/3)-2)^2+0.5*((($F19-1995)/3)-2)^3,IF($F19&lt;=2007,(4-(($F19-1995)/3))^3/6,0)))))</f>
        <v>0</v>
      </c>
      <c r="O19" s="16">
        <f>IF($F19&lt;=1998,0,IF($F19&lt;=2001,(($F19-1998)/3)^3/6,IF($F19&lt;=2004,2/3-((($F19-1998)/3)-2)^2-0.5*((($F19-1998)/3)-2)^3,IF($F19&lt;=2007,2/3-((($F19-1998)/3)-2)^2+0.5*((($F19-1998)/3)-2)^3,IF($F19&lt;=2010,(4-(($F19-1998)/3))^3/6,0)))))</f>
        <v>0.16666666666666699</v>
      </c>
      <c r="P19" s="16">
        <f>IF($F19&lt;=2001,0,IF($F19&lt;=2004,(($F19-2001)/3)^3/6,IF($F19&lt;=2007,2/3-((($F19-2001)/3)-2)^2-0.5*((($F19-2001)/3)-2)^3,IF($F19&lt;=2010,2/3-((($F19-2001)/3)-2)^2+0.5*((($F19-2001)/3)-2)^3,IF($F19&lt;=2013,(4-(($F19-2001)/3))^3/6,0)))))</f>
        <v>0.66666666666666696</v>
      </c>
      <c r="Q19" s="16">
        <f>IF($F19&lt;=2004,0,IF($F19&lt;=2007,(($F19-2004)/3)^3/6,IF($F19&lt;=2010,2/3-((($F19-2004)/3)-2)^2-0.5*((($F19-2004)/3)-2)^3,IF($F19&lt;=2013,2/3-((($F19-2004)/3)-2)^2+0.5*((($F19-2004)/3)-2)^3,IF($F19&lt;=2016,(4-(($F19-2004)/3))^3/6,0)))))</f>
        <v>0.16666666666666699</v>
      </c>
      <c r="R19" s="16">
        <f>IF($F19&lt;=2007,0,IF($F19&lt;=2010,(($F19-2007)/3)^3/6,IF($F19&lt;=2013,2/3-((($F19-2007)/3)-2)^2-0.5*((($F19-2007)/3)-2)^3,IF($F19&lt;=2016,2/3-((($F19-2007)/3)-2)^2+0.5*((($F19-2007)/3)-2)^3,IF($F19&lt;=2019,(4-(($F19-2007)/3))^3/6,0)))))</f>
        <v>0</v>
      </c>
      <c r="S19" s="16">
        <f>IF($F19&lt;=2010,0,IF($F19&lt;=2013,(($F19-2010)/3)^3/6,IF($F19&lt;=2016,2/3-((($F19-2010)/3)-2)^2-0.5*((($F19-2010)/3)-2)^3,IF($F19&lt;=2019,2/3-((($F19-2010)/3)-2)^2+0.5*((($F19-2010)/3)-2)^3,IF($F19&lt;=2022,(4-(($F19-2010)/3))^3/6,0)))))</f>
        <v>0</v>
      </c>
      <c r="T19" s="16">
        <f>IF($F19&lt;=2013,0,IF($F19&lt;=2016,(($F19-2013)/3)^3/6,IF($F19&lt;=2019,2/3-((($F19-2013)/3)-2)^2-0.5*((($F19-2013)/3)-2)^3,IF($F19&lt;=2022,2/3-((($F19-2013)/3)-2)^2+0.5*((($F19-2013)/3)-2)^3,IF($F19&lt;=2025,(4-(($F19-2013)/3))^3/6,0)))))</f>
        <v>0</v>
      </c>
      <c r="U19" s="16">
        <f>IF($F19&lt;=2016,0,IF($F19&lt;=2019,(($F19-2016)/3)^3/6,IF($F19&lt;=2022,2/3-((($F19-2016)/3)-2)^2-0.5*((($F19-2016)/3)-2)^3,IF($F19&lt;=2025,2/3-((($F19-2016)/3)-2)^2+0.5*((($F19-2016)/3)-2)^3,IF($F19&lt;=2028,(4-(($F19-2016)/3))^3/6,0)))))</f>
        <v>0</v>
      </c>
    </row>
    <row r="20">
      <c r="A20" s="19" t="n"/>
      <c r="F20" s="18" t="n">
        <v>2008</v>
      </c>
      <c r="H20" s="16">
        <f>SUMPRODUCT(K20:U20,$K$5:$U$5)</f>
        <v>-4.2471287619545501</v>
      </c>
      <c r="I20" s="16">
        <f>EXP(H20)</f>
        <v>0.0143052487736306</v>
      </c>
      <c r="J20" s="15" t="inlineStr">
        <is>
          <t>Projected</t>
        </is>
      </c>
      <c r="K20" s="16">
        <f>IF($F20&lt;=1986,0,IF($F20&lt;=1989,(($F20-1986)/3)^3/6,IF($F20&lt;=1992,2/3-((($F20-1986)/3)-2)^2-0.5*((($F20-1986)/3)-2)^3,IF($F20&lt;=1995,2/3-((($F20-1986)/3)-2)^2+0.5*((($F20-1986)/3)-2)^3,IF($F20&lt;=1998,(4-(($F20-1986)/3))^3/6,0)))))</f>
        <v>0</v>
      </c>
      <c r="L20" s="16">
        <f>IF($F20&lt;=1989,0,IF($F20&lt;=1992,(($F20-1989)/3)^3/6,IF($F20&lt;=1995,2/3-((($F20-1989)/3)-2)^2-0.5*((($F20-1989)/3)-2)^3,IF($F20&lt;=1998,2/3-((($F20-1989)/3)-2)^2+0.5*((($F20-1989)/3)-2)^3,IF($F20&lt;=2001,(4-(($F20-1989)/3))^3/6,0)))))</f>
        <v>0</v>
      </c>
      <c r="M20" s="16">
        <f>IF($F20&lt;=1992,0,IF($F20&lt;=1995,(($F20-1992)/3)^3/6,IF($F20&lt;=1998,2/3-((($F20-1992)/3)-2)^2-0.5*((($F20-1992)/3)-2)^3,IF($F20&lt;=2001,2/3-((($F20-1992)/3)-2)^2+0.5*((($F20-1992)/3)-2)^3,IF($F20&lt;=2004,(4-(($F20-1992)/3))^3/6,0)))))</f>
        <v>0</v>
      </c>
      <c r="N20" s="16">
        <f>IF($F20&lt;=1995,0,IF($F20&lt;=1998,(($F20-1995)/3)^3/6,IF($F20&lt;=2001,2/3-((($F20-1995)/3)-2)^2-0.5*((($F20-1995)/3)-2)^3,IF($F20&lt;=2004,2/3-((($F20-1995)/3)-2)^2+0.5*((($F20-1995)/3)-2)^3,IF($F20&lt;=2007,(4-(($F20-1995)/3))^3/6,0)))))</f>
        <v>0</v>
      </c>
      <c r="O20" s="16">
        <f>IF($F20&lt;=1998,0,IF($F20&lt;=2001,(($F20-1998)/3)^3/6,IF($F20&lt;=2004,2/3-((($F20-1998)/3)-2)^2-0.5*((($F20-1998)/3)-2)^3,IF($F20&lt;=2007,2/3-((($F20-1998)/3)-2)^2+0.5*((($F20-1998)/3)-2)^3,IF($F20&lt;=2010,(4-(($F20-1998)/3))^3/6,0)))))</f>
        <v>0.049382716049382699</v>
      </c>
      <c r="P20" s="16">
        <f>IF($F20&lt;=2001,0,IF($F20&lt;=2004,(($F20-2001)/3)^3/6,IF($F20&lt;=2007,2/3-((($F20-2001)/3)-2)^2-0.5*((($F20-2001)/3)-2)^3,IF($F20&lt;=2010,2/3-((($F20-2001)/3)-2)^2+0.5*((($F20-2001)/3)-2)^3,IF($F20&lt;=2013,(4-(($F20-2001)/3))^3/6,0)))))</f>
        <v>0.57407407407407396</v>
      </c>
      <c r="Q20" s="16">
        <f>IF($F20&lt;=2004,0,IF($F20&lt;=2007,(($F20-2004)/3)^3/6,IF($F20&lt;=2010,2/3-((($F20-2004)/3)-2)^2-0.5*((($F20-2004)/3)-2)^3,IF($F20&lt;=2013,2/3-((($F20-2004)/3)-2)^2+0.5*((($F20-2004)/3)-2)^3,IF($F20&lt;=2016,(4-(($F20-2004)/3))^3/6,0)))))</f>
        <v>0.37037037037037002</v>
      </c>
      <c r="R20" s="16">
        <f>IF($F20&lt;=2007,0,IF($F20&lt;=2010,(($F20-2007)/3)^3/6,IF($F20&lt;=2013,2/3-((($F20-2007)/3)-2)^2-0.5*((($F20-2007)/3)-2)^3,IF($F20&lt;=2016,2/3-((($F20-2007)/3)-2)^2+0.5*((($F20-2007)/3)-2)^3,IF($F20&lt;=2019,(4-(($F20-2007)/3))^3/6,0)))))</f>
        <v>0.00617283950617284</v>
      </c>
      <c r="S20" s="16">
        <f>IF($F20&lt;=2010,0,IF($F20&lt;=2013,(($F20-2010)/3)^3/6,IF($F20&lt;=2016,2/3-((($F20-2010)/3)-2)^2-0.5*((($F20-2010)/3)-2)^3,IF($F20&lt;=2019,2/3-((($F20-2010)/3)-2)^2+0.5*((($F20-2010)/3)-2)^3,IF($F20&lt;=2022,(4-(($F20-2010)/3))^3/6,0)))))</f>
        <v>0</v>
      </c>
      <c r="T20" s="16">
        <f>IF($F20&lt;=2013,0,IF($F20&lt;=2016,(($F20-2013)/3)^3/6,IF($F20&lt;=2019,2/3-((($F20-2013)/3)-2)^2-0.5*((($F20-2013)/3)-2)^3,IF($F20&lt;=2022,2/3-((($F20-2013)/3)-2)^2+0.5*((($F20-2013)/3)-2)^3,IF($F20&lt;=2025,(4-(($F20-2013)/3))^3/6,0)))))</f>
        <v>0</v>
      </c>
      <c r="U20" s="16">
        <f>IF($F20&lt;=2016,0,IF($F20&lt;=2019,(($F20-2016)/3)^3/6,IF($F20&lt;=2022,2/3-((($F20-2016)/3)-2)^2-0.5*((($F20-2016)/3)-2)^3,IF($F20&lt;=2025,2/3-((($F20-2016)/3)-2)^2+0.5*((($F20-2016)/3)-2)^3,IF($F20&lt;=2028,(4-(($F20-2016)/3))^3/6,0)))))</f>
        <v>0</v>
      </c>
    </row>
    <row r="21">
      <c r="A21" s="19" t="n"/>
      <c r="F21" s="18" t="n">
        <v>2009</v>
      </c>
      <c r="H21" s="16">
        <f>SUMPRODUCT(K21:U21,$K$5:$U$5)</f>
        <v>-4.2829215565715701</v>
      </c>
      <c r="I21" s="16">
        <f>EXP(H21)</f>
        <v>0.0138022789855737</v>
      </c>
      <c r="J21" s="15" t="inlineStr">
        <is>
          <t>Projected</t>
        </is>
      </c>
      <c r="K21" s="16">
        <f>IF($F21&lt;=1986,0,IF($F21&lt;=1989,(($F21-1986)/3)^3/6,IF($F21&lt;=1992,2/3-((($F21-1986)/3)-2)^2-0.5*((($F21-1986)/3)-2)^3,IF($F21&lt;=1995,2/3-((($F21-1986)/3)-2)^2+0.5*((($F21-1986)/3)-2)^3,IF($F21&lt;=1998,(4-(($F21-1986)/3))^3/6,0)))))</f>
        <v>0</v>
      </c>
      <c r="L21" s="16">
        <f>IF($F21&lt;=1989,0,IF($F21&lt;=1992,(($F21-1989)/3)^3/6,IF($F21&lt;=1995,2/3-((($F21-1989)/3)-2)^2-0.5*((($F21-1989)/3)-2)^3,IF($F21&lt;=1998,2/3-((($F21-1989)/3)-2)^2+0.5*((($F21-1989)/3)-2)^3,IF($F21&lt;=2001,(4-(($F21-1989)/3))^3/6,0)))))</f>
        <v>0</v>
      </c>
      <c r="M21" s="16">
        <f>IF($F21&lt;=1992,0,IF($F21&lt;=1995,(($F21-1992)/3)^3/6,IF($F21&lt;=1998,2/3-((($F21-1992)/3)-2)^2-0.5*((($F21-1992)/3)-2)^3,IF($F21&lt;=2001,2/3-((($F21-1992)/3)-2)^2+0.5*((($F21-1992)/3)-2)^3,IF($F21&lt;=2004,(4-(($F21-1992)/3))^3/6,0)))))</f>
        <v>0</v>
      </c>
      <c r="N21" s="16">
        <f>IF($F21&lt;=1995,0,IF($F21&lt;=1998,(($F21-1995)/3)^3/6,IF($F21&lt;=2001,2/3-((($F21-1995)/3)-2)^2-0.5*((($F21-1995)/3)-2)^3,IF($F21&lt;=2004,2/3-((($F21-1995)/3)-2)^2+0.5*((($F21-1995)/3)-2)^3,IF($F21&lt;=2007,(4-(($F21-1995)/3))^3/6,0)))))</f>
        <v>0</v>
      </c>
      <c r="O21" s="16">
        <f>IF($F21&lt;=1998,0,IF($F21&lt;=2001,(($F21-1998)/3)^3/6,IF($F21&lt;=2004,2/3-((($F21-1998)/3)-2)^2-0.5*((($F21-1998)/3)-2)^3,IF($F21&lt;=2007,2/3-((($F21-1998)/3)-2)^2+0.5*((($F21-1998)/3)-2)^3,IF($F21&lt;=2010,(4-(($F21-1998)/3))^3/6,0)))))</f>
        <v>0.00617283950617284</v>
      </c>
      <c r="P21" s="16">
        <f>IF($F21&lt;=2001,0,IF($F21&lt;=2004,(($F21-2001)/3)^3/6,IF($F21&lt;=2007,2/3-((($F21-2001)/3)-2)^2-0.5*((($F21-2001)/3)-2)^3,IF($F21&lt;=2010,2/3-((($F21-2001)/3)-2)^2+0.5*((($F21-2001)/3)-2)^3,IF($F21&lt;=2013,(4-(($F21-2001)/3))^3/6,0)))))</f>
        <v>0.37037037037037002</v>
      </c>
      <c r="Q21" s="16">
        <f>IF($F21&lt;=2004,0,IF($F21&lt;=2007,(($F21-2004)/3)^3/6,IF($F21&lt;=2010,2/3-((($F21-2004)/3)-2)^2-0.5*((($F21-2004)/3)-2)^3,IF($F21&lt;=2013,2/3-((($F21-2004)/3)-2)^2+0.5*((($F21-2004)/3)-2)^3,IF($F21&lt;=2016,(4-(($F21-2004)/3))^3/6,0)))))</f>
        <v>0.57407407407407396</v>
      </c>
      <c r="R21" s="16">
        <f>IF($F21&lt;=2007,0,IF($F21&lt;=2010,(($F21-2007)/3)^3/6,IF($F21&lt;=2013,2/3-((($F21-2007)/3)-2)^2-0.5*((($F21-2007)/3)-2)^3,IF($F21&lt;=2016,2/3-((($F21-2007)/3)-2)^2+0.5*((($F21-2007)/3)-2)^3,IF($F21&lt;=2019,(4-(($F21-2007)/3))^3/6,0)))))</f>
        <v>0.049382716049382699</v>
      </c>
      <c r="S21" s="16">
        <f>IF($F21&lt;=2010,0,IF($F21&lt;=2013,(($F21-2010)/3)^3/6,IF($F21&lt;=2016,2/3-((($F21-2010)/3)-2)^2-0.5*((($F21-2010)/3)-2)^3,IF($F21&lt;=2019,2/3-((($F21-2010)/3)-2)^2+0.5*((($F21-2010)/3)-2)^3,IF($F21&lt;=2022,(4-(($F21-2010)/3))^3/6,0)))))</f>
        <v>0</v>
      </c>
      <c r="T21" s="16">
        <f>IF($F21&lt;=2013,0,IF($F21&lt;=2016,(($F21-2013)/3)^3/6,IF($F21&lt;=2019,2/3-((($F21-2013)/3)-2)^2-0.5*((($F21-2013)/3)-2)^3,IF($F21&lt;=2022,2/3-((($F21-2013)/3)-2)^2+0.5*((($F21-2013)/3)-2)^3,IF($F21&lt;=2025,(4-(($F21-2013)/3))^3/6,0)))))</f>
        <v>0</v>
      </c>
      <c r="U21" s="16">
        <f>IF($F21&lt;=2016,0,IF($F21&lt;=2019,(($F21-2016)/3)^3/6,IF($F21&lt;=2022,2/3-((($F21-2016)/3)-2)^2-0.5*((($F21-2016)/3)-2)^3,IF($F21&lt;=2025,2/3-((($F21-2016)/3)-2)^2+0.5*((($F21-2016)/3)-2)^3,IF($F21&lt;=2028,(4-(($F21-2016)/3))^3/6,0)))))</f>
        <v>0</v>
      </c>
    </row>
    <row r="22">
      <c r="A22" s="19" t="n"/>
      <c r="F22" s="18" t="n">
        <v>2010</v>
      </c>
      <c r="H22" s="16">
        <f>SUMPRODUCT(K22:U22,$K$5:$U$5)</f>
        <v>-4.3187143511885902</v>
      </c>
      <c r="I22" s="16">
        <f>EXP(H22)</f>
        <v>0.0133169935182653</v>
      </c>
      <c r="J22" s="15" t="inlineStr">
        <is>
          <t>Projected</t>
        </is>
      </c>
      <c r="K22" s="16">
        <f>IF($F22&lt;=1986,0,IF($F22&lt;=1989,(($F22-1986)/3)^3/6,IF($F22&lt;=1992,2/3-((($F22-1986)/3)-2)^2-0.5*((($F22-1986)/3)-2)^3,IF($F22&lt;=1995,2/3-((($F22-1986)/3)-2)^2+0.5*((($F22-1986)/3)-2)^3,IF($F22&lt;=1998,(4-(($F22-1986)/3))^3/6,0)))))</f>
        <v>0</v>
      </c>
      <c r="L22" s="16">
        <f>IF($F22&lt;=1989,0,IF($F22&lt;=1992,(($F22-1989)/3)^3/6,IF($F22&lt;=1995,2/3-((($F22-1989)/3)-2)^2-0.5*((($F22-1989)/3)-2)^3,IF($F22&lt;=1998,2/3-((($F22-1989)/3)-2)^2+0.5*((($F22-1989)/3)-2)^3,IF($F22&lt;=2001,(4-(($F22-1989)/3))^3/6,0)))))</f>
        <v>0</v>
      </c>
      <c r="M22" s="16">
        <f>IF($F22&lt;=1992,0,IF($F22&lt;=1995,(($F22-1992)/3)^3/6,IF($F22&lt;=1998,2/3-((($F22-1992)/3)-2)^2-0.5*((($F22-1992)/3)-2)^3,IF($F22&lt;=2001,2/3-((($F22-1992)/3)-2)^2+0.5*((($F22-1992)/3)-2)^3,IF($F22&lt;=2004,(4-(($F22-1992)/3))^3/6,0)))))</f>
        <v>0</v>
      </c>
      <c r="N22" s="16">
        <f>IF($F22&lt;=1995,0,IF($F22&lt;=1998,(($F22-1995)/3)^3/6,IF($F22&lt;=2001,2/3-((($F22-1995)/3)-2)^2-0.5*((($F22-1995)/3)-2)^3,IF($F22&lt;=2004,2/3-((($F22-1995)/3)-2)^2+0.5*((($F22-1995)/3)-2)^3,IF($F22&lt;=2007,(4-(($F22-1995)/3))^3/6,0)))))</f>
        <v>0</v>
      </c>
      <c r="O22" s="16">
        <f>IF($F22&lt;=1998,0,IF($F22&lt;=2001,(($F22-1998)/3)^3/6,IF($F22&lt;=2004,2/3-((($F22-1998)/3)-2)^2-0.5*((($F22-1998)/3)-2)^3,IF($F22&lt;=2007,2/3-((($F22-1998)/3)-2)^2+0.5*((($F22-1998)/3)-2)^3,IF($F22&lt;=2010,(4-(($F22-1998)/3))^3/6,0)))))</f>
        <v>0</v>
      </c>
      <c r="P22" s="16">
        <f>IF($F22&lt;=2001,0,IF($F22&lt;=2004,(($F22-2001)/3)^3/6,IF($F22&lt;=2007,2/3-((($F22-2001)/3)-2)^2-0.5*((($F22-2001)/3)-2)^3,IF($F22&lt;=2010,2/3-((($F22-2001)/3)-2)^2+0.5*((($F22-2001)/3)-2)^3,IF($F22&lt;=2013,(4-(($F22-2001)/3))^3/6,0)))))</f>
        <v>0.16666666666666699</v>
      </c>
      <c r="Q22" s="16">
        <f>IF($F22&lt;=2004,0,IF($F22&lt;=2007,(($F22-2004)/3)^3/6,IF($F22&lt;=2010,2/3-((($F22-2004)/3)-2)^2-0.5*((($F22-2004)/3)-2)^3,IF($F22&lt;=2013,2/3-((($F22-2004)/3)-2)^2+0.5*((($F22-2004)/3)-2)^3,IF($F22&lt;=2016,(4-(($F22-2004)/3))^3/6,0)))))</f>
        <v>0.66666666666666696</v>
      </c>
      <c r="R22" s="16">
        <f>IF($F22&lt;=2007,0,IF($F22&lt;=2010,(($F22-2007)/3)^3/6,IF($F22&lt;=2013,2/3-((($F22-2007)/3)-2)^2-0.5*((($F22-2007)/3)-2)^3,IF($F22&lt;=2016,2/3-((($F22-2007)/3)-2)^2+0.5*((($F22-2007)/3)-2)^3,IF($F22&lt;=2019,(4-(($F22-2007)/3))^3/6,0)))))</f>
        <v>0.16666666666666699</v>
      </c>
      <c r="S22" s="16">
        <f>IF($F22&lt;=2010,0,IF($F22&lt;=2013,(($F22-2010)/3)^3/6,IF($F22&lt;=2016,2/3-((($F22-2010)/3)-2)^2-0.5*((($F22-2010)/3)-2)^3,IF($F22&lt;=2019,2/3-((($F22-2010)/3)-2)^2+0.5*((($F22-2010)/3)-2)^3,IF($F22&lt;=2022,(4-(($F22-2010)/3))^3/6,0)))))</f>
        <v>0</v>
      </c>
      <c r="T22" s="16">
        <f>IF($F22&lt;=2013,0,IF($F22&lt;=2016,(($F22-2013)/3)^3/6,IF($F22&lt;=2019,2/3-((($F22-2013)/3)-2)^2-0.5*((($F22-2013)/3)-2)^3,IF($F22&lt;=2022,2/3-((($F22-2013)/3)-2)^2+0.5*((($F22-2013)/3)-2)^3,IF($F22&lt;=2025,(4-(($F22-2013)/3))^3/6,0)))))</f>
        <v>0</v>
      </c>
      <c r="U22" s="16">
        <f>IF($F22&lt;=2016,0,IF($F22&lt;=2019,(($F22-2016)/3)^3/6,IF($F22&lt;=2022,2/3-((($F22-2016)/3)-2)^2-0.5*((($F22-2016)/3)-2)^3,IF($F22&lt;=2025,2/3-((($F22-2016)/3)-2)^2+0.5*((($F22-2016)/3)-2)^3,IF($F22&lt;=2028,(4-(($F22-2016)/3))^3/6,0)))))</f>
        <v>0</v>
      </c>
    </row>
    <row r="23">
      <c r="A23" s="19" t="n"/>
      <c r="F23" s="18" t="n">
        <v>2011</v>
      </c>
      <c r="H23" s="16">
        <f>SUMPRODUCT(K23:U23,$K$5:$U$5)</f>
        <v>-4.3545071458056199</v>
      </c>
      <c r="I23" s="16">
        <f>EXP(H23)</f>
        <v>0.012848770594398101</v>
      </c>
      <c r="J23" s="15" t="inlineStr">
        <is>
          <t>Projected</t>
        </is>
      </c>
      <c r="K23" s="16">
        <f>IF($F23&lt;=1986,0,IF($F23&lt;=1989,(($F23-1986)/3)^3/6,IF($F23&lt;=1992,2/3-((($F23-1986)/3)-2)^2-0.5*((($F23-1986)/3)-2)^3,IF($F23&lt;=1995,2/3-((($F23-1986)/3)-2)^2+0.5*((($F23-1986)/3)-2)^3,IF($F23&lt;=1998,(4-(($F23-1986)/3))^3/6,0)))))</f>
        <v>0</v>
      </c>
      <c r="L23" s="16">
        <f>IF($F23&lt;=1989,0,IF($F23&lt;=1992,(($F23-1989)/3)^3/6,IF($F23&lt;=1995,2/3-((($F23-1989)/3)-2)^2-0.5*((($F23-1989)/3)-2)^3,IF($F23&lt;=1998,2/3-((($F23-1989)/3)-2)^2+0.5*((($F23-1989)/3)-2)^3,IF($F23&lt;=2001,(4-(($F23-1989)/3))^3/6,0)))))</f>
        <v>0</v>
      </c>
      <c r="M23" s="16">
        <f>IF($F23&lt;=1992,0,IF($F23&lt;=1995,(($F23-1992)/3)^3/6,IF($F23&lt;=1998,2/3-((($F23-1992)/3)-2)^2-0.5*((($F23-1992)/3)-2)^3,IF($F23&lt;=2001,2/3-((($F23-1992)/3)-2)^2+0.5*((($F23-1992)/3)-2)^3,IF($F23&lt;=2004,(4-(($F23-1992)/3))^3/6,0)))))</f>
        <v>0</v>
      </c>
      <c r="N23" s="16">
        <f>IF($F23&lt;=1995,0,IF($F23&lt;=1998,(($F23-1995)/3)^3/6,IF($F23&lt;=2001,2/3-((($F23-1995)/3)-2)^2-0.5*((($F23-1995)/3)-2)^3,IF($F23&lt;=2004,2/3-((($F23-1995)/3)-2)^2+0.5*((($F23-1995)/3)-2)^3,IF($F23&lt;=2007,(4-(($F23-1995)/3))^3/6,0)))))</f>
        <v>0</v>
      </c>
      <c r="O23" s="16">
        <f>IF($F23&lt;=1998,0,IF($F23&lt;=2001,(($F23-1998)/3)^3/6,IF($F23&lt;=2004,2/3-((($F23-1998)/3)-2)^2-0.5*((($F23-1998)/3)-2)^3,IF($F23&lt;=2007,2/3-((($F23-1998)/3)-2)^2+0.5*((($F23-1998)/3)-2)^3,IF($F23&lt;=2010,(4-(($F23-1998)/3))^3/6,0)))))</f>
        <v>0</v>
      </c>
      <c r="P23" s="16">
        <f>IF($F23&lt;=2001,0,IF($F23&lt;=2004,(($F23-2001)/3)^3/6,IF($F23&lt;=2007,2/3-((($F23-2001)/3)-2)^2-0.5*((($F23-2001)/3)-2)^3,IF($F23&lt;=2010,2/3-((($F23-2001)/3)-2)^2+0.5*((($F23-2001)/3)-2)^3,IF($F23&lt;=2013,(4-(($F23-2001)/3))^3/6,0)))))</f>
        <v>0.049382716049382699</v>
      </c>
      <c r="Q23" s="16">
        <f>IF($F23&lt;=2004,0,IF($F23&lt;=2007,(($F23-2004)/3)^3/6,IF($F23&lt;=2010,2/3-((($F23-2004)/3)-2)^2-0.5*((($F23-2004)/3)-2)^3,IF($F23&lt;=2013,2/3-((($F23-2004)/3)-2)^2+0.5*((($F23-2004)/3)-2)^3,IF($F23&lt;=2016,(4-(($F23-2004)/3))^3/6,0)))))</f>
        <v>0.57407407407407396</v>
      </c>
      <c r="R23" s="16">
        <f>IF($F23&lt;=2007,0,IF($F23&lt;=2010,(($F23-2007)/3)^3/6,IF($F23&lt;=2013,2/3-((($F23-2007)/3)-2)^2-0.5*((($F23-2007)/3)-2)^3,IF($F23&lt;=2016,2/3-((($F23-2007)/3)-2)^2+0.5*((($F23-2007)/3)-2)^3,IF($F23&lt;=2019,(4-(($F23-2007)/3))^3/6,0)))))</f>
        <v>0.37037037037037002</v>
      </c>
      <c r="S23" s="16">
        <f>IF($F23&lt;=2010,0,IF($F23&lt;=2013,(($F23-2010)/3)^3/6,IF($F23&lt;=2016,2/3-((($F23-2010)/3)-2)^2-0.5*((($F23-2010)/3)-2)^3,IF($F23&lt;=2019,2/3-((($F23-2010)/3)-2)^2+0.5*((($F23-2010)/3)-2)^3,IF($F23&lt;=2022,(4-(($F23-2010)/3))^3/6,0)))))</f>
        <v>0.00617283950617284</v>
      </c>
      <c r="T23" s="16">
        <f>IF($F23&lt;=2013,0,IF($F23&lt;=2016,(($F23-2013)/3)^3/6,IF($F23&lt;=2019,2/3-((($F23-2013)/3)-2)^2-0.5*((($F23-2013)/3)-2)^3,IF($F23&lt;=2022,2/3-((($F23-2013)/3)-2)^2+0.5*((($F23-2013)/3)-2)^3,IF($F23&lt;=2025,(4-(($F23-2013)/3))^3/6,0)))))</f>
        <v>0</v>
      </c>
      <c r="U23" s="16">
        <f>IF($F23&lt;=2016,0,IF($F23&lt;=2019,(($F23-2016)/3)^3/6,IF($F23&lt;=2022,2/3-((($F23-2016)/3)-2)^2-0.5*((($F23-2016)/3)-2)^3,IF($F23&lt;=2025,2/3-((($F23-2016)/3)-2)^2+0.5*((($F23-2016)/3)-2)^3,IF($F23&lt;=2028,(4-(($F23-2016)/3))^3/6,0)))))</f>
        <v>0</v>
      </c>
    </row>
    <row r="24">
      <c r="A24" s="19" t="n"/>
      <c r="F24" s="18" t="n">
        <v>2012</v>
      </c>
      <c r="H24" s="16">
        <f>SUMPRODUCT(K24:U24,$K$5:$U$5)</f>
        <v>-4.3902999404226399</v>
      </c>
      <c r="I24" s="16">
        <f>EXP(H24)</f>
        <v>0.012397010298235501</v>
      </c>
      <c r="J24" s="15" t="inlineStr">
        <is>
          <t>Projected</t>
        </is>
      </c>
      <c r="K24" s="16">
        <f>IF($F24&lt;=1986,0,IF($F24&lt;=1989,(($F24-1986)/3)^3/6,IF($F24&lt;=1992,2/3-((($F24-1986)/3)-2)^2-0.5*((($F24-1986)/3)-2)^3,IF($F24&lt;=1995,2/3-((($F24-1986)/3)-2)^2+0.5*((($F24-1986)/3)-2)^3,IF($F24&lt;=1998,(4-(($F24-1986)/3))^3/6,0)))))</f>
        <v>0</v>
      </c>
      <c r="L24" s="16">
        <f>IF($F24&lt;=1989,0,IF($F24&lt;=1992,(($F24-1989)/3)^3/6,IF($F24&lt;=1995,2/3-((($F24-1989)/3)-2)^2-0.5*((($F24-1989)/3)-2)^3,IF($F24&lt;=1998,2/3-((($F24-1989)/3)-2)^2+0.5*((($F24-1989)/3)-2)^3,IF($F24&lt;=2001,(4-(($F24-1989)/3))^3/6,0)))))</f>
        <v>0</v>
      </c>
      <c r="M24" s="16">
        <f>IF($F24&lt;=1992,0,IF($F24&lt;=1995,(($F24-1992)/3)^3/6,IF($F24&lt;=1998,2/3-((($F24-1992)/3)-2)^2-0.5*((($F24-1992)/3)-2)^3,IF($F24&lt;=2001,2/3-((($F24-1992)/3)-2)^2+0.5*((($F24-1992)/3)-2)^3,IF($F24&lt;=2004,(4-(($F24-1992)/3))^3/6,0)))))</f>
        <v>0</v>
      </c>
      <c r="N24" s="16">
        <f>IF($F24&lt;=1995,0,IF($F24&lt;=1998,(($F24-1995)/3)^3/6,IF($F24&lt;=2001,2/3-((($F24-1995)/3)-2)^2-0.5*((($F24-1995)/3)-2)^3,IF($F24&lt;=2004,2/3-((($F24-1995)/3)-2)^2+0.5*((($F24-1995)/3)-2)^3,IF($F24&lt;=2007,(4-(($F24-1995)/3))^3/6,0)))))</f>
        <v>0</v>
      </c>
      <c r="O24" s="16">
        <f>IF($F24&lt;=1998,0,IF($F24&lt;=2001,(($F24-1998)/3)^3/6,IF($F24&lt;=2004,2/3-((($F24-1998)/3)-2)^2-0.5*((($F24-1998)/3)-2)^3,IF($F24&lt;=2007,2/3-((($F24-1998)/3)-2)^2+0.5*((($F24-1998)/3)-2)^3,IF($F24&lt;=2010,(4-(($F24-1998)/3))^3/6,0)))))</f>
        <v>0</v>
      </c>
      <c r="P24" s="16">
        <f>IF($F24&lt;=2001,0,IF($F24&lt;=2004,(($F24-2001)/3)^3/6,IF($F24&lt;=2007,2/3-((($F24-2001)/3)-2)^2-0.5*((($F24-2001)/3)-2)^3,IF($F24&lt;=2010,2/3-((($F24-2001)/3)-2)^2+0.5*((($F24-2001)/3)-2)^3,IF($F24&lt;=2013,(4-(($F24-2001)/3))^3/6,0)))))</f>
        <v>0.00617283950617284</v>
      </c>
      <c r="Q24" s="16">
        <f>IF($F24&lt;=2004,0,IF($F24&lt;=2007,(($F24-2004)/3)^3/6,IF($F24&lt;=2010,2/3-((($F24-2004)/3)-2)^2-0.5*((($F24-2004)/3)-2)^3,IF($F24&lt;=2013,2/3-((($F24-2004)/3)-2)^2+0.5*((($F24-2004)/3)-2)^3,IF($F24&lt;=2016,(4-(($F24-2004)/3))^3/6,0)))))</f>
        <v>0.37037037037037002</v>
      </c>
      <c r="R24" s="16">
        <f>IF($F24&lt;=2007,0,IF($F24&lt;=2010,(($F24-2007)/3)^3/6,IF($F24&lt;=2013,2/3-((($F24-2007)/3)-2)^2-0.5*((($F24-2007)/3)-2)^3,IF($F24&lt;=2016,2/3-((($F24-2007)/3)-2)^2+0.5*((($F24-2007)/3)-2)^3,IF($F24&lt;=2019,(4-(($F24-2007)/3))^3/6,0)))))</f>
        <v>0.57407407407407396</v>
      </c>
      <c r="S24" s="16">
        <f>IF($F24&lt;=2010,0,IF($F24&lt;=2013,(($F24-2010)/3)^3/6,IF($F24&lt;=2016,2/3-((($F24-2010)/3)-2)^2-0.5*((($F24-2010)/3)-2)^3,IF($F24&lt;=2019,2/3-((($F24-2010)/3)-2)^2+0.5*((($F24-2010)/3)-2)^3,IF($F24&lt;=2022,(4-(($F24-2010)/3))^3/6,0)))))</f>
        <v>0.049382716049382699</v>
      </c>
      <c r="T24" s="16">
        <f>IF($F24&lt;=2013,0,IF($F24&lt;=2016,(($F24-2013)/3)^3/6,IF($F24&lt;=2019,2/3-((($F24-2013)/3)-2)^2-0.5*((($F24-2013)/3)-2)^3,IF($F24&lt;=2022,2/3-((($F24-2013)/3)-2)^2+0.5*((($F24-2013)/3)-2)^3,IF($F24&lt;=2025,(4-(($F24-2013)/3))^3/6,0)))))</f>
        <v>0</v>
      </c>
      <c r="U24" s="16">
        <f>IF($F24&lt;=2016,0,IF($F24&lt;=2019,(($F24-2016)/3)^3/6,IF($F24&lt;=2022,2/3-((($F24-2016)/3)-2)^2-0.5*((($F24-2016)/3)-2)^3,IF($F24&lt;=2025,2/3-((($F24-2016)/3)-2)^2+0.5*((($F24-2016)/3)-2)^3,IF($F24&lt;=2028,(4-(($F24-2016)/3))^3/6,0)))))</f>
        <v>0</v>
      </c>
    </row>
    <row r="25">
      <c r="A25" s="19" t="n"/>
      <c r="F25" s="18" t="n">
        <v>2013</v>
      </c>
      <c r="H25" s="16">
        <f>SUMPRODUCT(K25:U25,$K$5:$U$5)</f>
        <v>-4.4260927350396599</v>
      </c>
      <c r="I25" s="16">
        <f>EXP(H25)</f>
        <v>0.0119611338069621</v>
      </c>
      <c r="J25" s="15" t="inlineStr">
        <is>
          <t>Projected</t>
        </is>
      </c>
      <c r="K25" s="16">
        <f>IF($F25&lt;=1986,0,IF($F25&lt;=1989,(($F25-1986)/3)^3/6,IF($F25&lt;=1992,2/3-((($F25-1986)/3)-2)^2-0.5*((($F25-1986)/3)-2)^3,IF($F25&lt;=1995,2/3-((($F25-1986)/3)-2)^2+0.5*((($F25-1986)/3)-2)^3,IF($F25&lt;=1998,(4-(($F25-1986)/3))^3/6,0)))))</f>
        <v>0</v>
      </c>
      <c r="L25" s="16">
        <f>IF($F25&lt;=1989,0,IF($F25&lt;=1992,(($F25-1989)/3)^3/6,IF($F25&lt;=1995,2/3-((($F25-1989)/3)-2)^2-0.5*((($F25-1989)/3)-2)^3,IF($F25&lt;=1998,2/3-((($F25-1989)/3)-2)^2+0.5*((($F25-1989)/3)-2)^3,IF($F25&lt;=2001,(4-(($F25-1989)/3))^3/6,0)))))</f>
        <v>0</v>
      </c>
      <c r="M25" s="16">
        <f>IF($F25&lt;=1992,0,IF($F25&lt;=1995,(($F25-1992)/3)^3/6,IF($F25&lt;=1998,2/3-((($F25-1992)/3)-2)^2-0.5*((($F25-1992)/3)-2)^3,IF($F25&lt;=2001,2/3-((($F25-1992)/3)-2)^2+0.5*((($F25-1992)/3)-2)^3,IF($F25&lt;=2004,(4-(($F25-1992)/3))^3/6,0)))))</f>
        <v>0</v>
      </c>
      <c r="N25" s="16">
        <f>IF($F25&lt;=1995,0,IF($F25&lt;=1998,(($F25-1995)/3)^3/6,IF($F25&lt;=2001,2/3-((($F25-1995)/3)-2)^2-0.5*((($F25-1995)/3)-2)^3,IF($F25&lt;=2004,2/3-((($F25-1995)/3)-2)^2+0.5*((($F25-1995)/3)-2)^3,IF($F25&lt;=2007,(4-(($F25-1995)/3))^3/6,0)))))</f>
        <v>0</v>
      </c>
      <c r="O25" s="16">
        <f>IF($F25&lt;=1998,0,IF($F25&lt;=2001,(($F25-1998)/3)^3/6,IF($F25&lt;=2004,2/3-((($F25-1998)/3)-2)^2-0.5*((($F25-1998)/3)-2)^3,IF($F25&lt;=2007,2/3-((($F25-1998)/3)-2)^2+0.5*((($F25-1998)/3)-2)^3,IF($F25&lt;=2010,(4-(($F25-1998)/3))^3/6,0)))))</f>
        <v>0</v>
      </c>
      <c r="P25" s="16">
        <f>IF($F25&lt;=2001,0,IF($F25&lt;=2004,(($F25-2001)/3)^3/6,IF($F25&lt;=2007,2/3-((($F25-2001)/3)-2)^2-0.5*((($F25-2001)/3)-2)^3,IF($F25&lt;=2010,2/3-((($F25-2001)/3)-2)^2+0.5*((($F25-2001)/3)-2)^3,IF($F25&lt;=2013,(4-(($F25-2001)/3))^3/6,0)))))</f>
        <v>0</v>
      </c>
      <c r="Q25" s="16">
        <f>IF($F25&lt;=2004,0,IF($F25&lt;=2007,(($F25-2004)/3)^3/6,IF($F25&lt;=2010,2/3-((($F25-2004)/3)-2)^2-0.5*((($F25-2004)/3)-2)^3,IF($F25&lt;=2013,2/3-((($F25-2004)/3)-2)^2+0.5*((($F25-2004)/3)-2)^3,IF($F25&lt;=2016,(4-(($F25-2004)/3))^3/6,0)))))</f>
        <v>0.16666666666666699</v>
      </c>
      <c r="R25" s="16">
        <f>IF($F25&lt;=2007,0,IF($F25&lt;=2010,(($F25-2007)/3)^3/6,IF($F25&lt;=2013,2/3-((($F25-2007)/3)-2)^2-0.5*((($F25-2007)/3)-2)^3,IF($F25&lt;=2016,2/3-((($F25-2007)/3)-2)^2+0.5*((($F25-2007)/3)-2)^3,IF($F25&lt;=2019,(4-(($F25-2007)/3))^3/6,0)))))</f>
        <v>0.66666666666666696</v>
      </c>
      <c r="S25" s="16">
        <f>IF($F25&lt;=2010,0,IF($F25&lt;=2013,(($F25-2010)/3)^3/6,IF($F25&lt;=2016,2/3-((($F25-2010)/3)-2)^2-0.5*((($F25-2010)/3)-2)^3,IF($F25&lt;=2019,2/3-((($F25-2010)/3)-2)^2+0.5*((($F25-2010)/3)-2)^3,IF($F25&lt;=2022,(4-(($F25-2010)/3))^3/6,0)))))</f>
        <v>0.16666666666666699</v>
      </c>
      <c r="T25" s="16">
        <f>IF($F25&lt;=2013,0,IF($F25&lt;=2016,(($F25-2013)/3)^3/6,IF($F25&lt;=2019,2/3-((($F25-2013)/3)-2)^2-0.5*((($F25-2013)/3)-2)^3,IF($F25&lt;=2022,2/3-((($F25-2013)/3)-2)^2+0.5*((($F25-2013)/3)-2)^3,IF($F25&lt;=2025,(4-(($F25-2013)/3))^3/6,0)))))</f>
        <v>0</v>
      </c>
      <c r="U25" s="16">
        <f>IF($F25&lt;=2016,0,IF($F25&lt;=2019,(($F25-2016)/3)^3/6,IF($F25&lt;=2022,2/3-((($F25-2016)/3)-2)^2-0.5*((($F25-2016)/3)-2)^3,IF($F25&lt;=2025,2/3-((($F25-2016)/3)-2)^2+0.5*((($F25-2016)/3)-2)^3,IF($F25&lt;=2028,(4-(($F25-2016)/3))^3/6,0)))))</f>
        <v>0</v>
      </c>
    </row>
    <row r="26">
      <c r="A26" s="19" t="n"/>
      <c r="F26" s="18" t="n">
        <v>2014</v>
      </c>
      <c r="H26" s="16">
        <f>SUMPRODUCT(K26:U26,$K$5:$U$5)</f>
        <v>-4.4618855296566799</v>
      </c>
      <c r="I26" s="16">
        <f>EXP(H26)</f>
        <v>0.0115405826490615</v>
      </c>
      <c r="J26" s="15" t="inlineStr">
        <is>
          <t>Projected</t>
        </is>
      </c>
      <c r="K26" s="16">
        <f>IF($F26&lt;=1986,0,IF($F26&lt;=1989,(($F26-1986)/3)^3/6,IF($F26&lt;=1992,2/3-((($F26-1986)/3)-2)^2-0.5*((($F26-1986)/3)-2)^3,IF($F26&lt;=1995,2/3-((($F26-1986)/3)-2)^2+0.5*((($F26-1986)/3)-2)^3,IF($F26&lt;=1998,(4-(($F26-1986)/3))^3/6,0)))))</f>
        <v>0</v>
      </c>
      <c r="L26" s="16">
        <f>IF($F26&lt;=1989,0,IF($F26&lt;=1992,(($F26-1989)/3)^3/6,IF($F26&lt;=1995,2/3-((($F26-1989)/3)-2)^2-0.5*((($F26-1989)/3)-2)^3,IF($F26&lt;=1998,2/3-((($F26-1989)/3)-2)^2+0.5*((($F26-1989)/3)-2)^3,IF($F26&lt;=2001,(4-(($F26-1989)/3))^3/6,0)))))</f>
        <v>0</v>
      </c>
      <c r="M26" s="16">
        <f>IF($F26&lt;=1992,0,IF($F26&lt;=1995,(($F26-1992)/3)^3/6,IF($F26&lt;=1998,2/3-((($F26-1992)/3)-2)^2-0.5*((($F26-1992)/3)-2)^3,IF($F26&lt;=2001,2/3-((($F26-1992)/3)-2)^2+0.5*((($F26-1992)/3)-2)^3,IF($F26&lt;=2004,(4-(($F26-1992)/3))^3/6,0)))))</f>
        <v>0</v>
      </c>
      <c r="N26" s="16">
        <f>IF($F26&lt;=1995,0,IF($F26&lt;=1998,(($F26-1995)/3)^3/6,IF($F26&lt;=2001,2/3-((($F26-1995)/3)-2)^2-0.5*((($F26-1995)/3)-2)^3,IF($F26&lt;=2004,2/3-((($F26-1995)/3)-2)^2+0.5*((($F26-1995)/3)-2)^3,IF($F26&lt;=2007,(4-(($F26-1995)/3))^3/6,0)))))</f>
        <v>0</v>
      </c>
      <c r="O26" s="16">
        <f>IF($F26&lt;=1998,0,IF($F26&lt;=2001,(($F26-1998)/3)^3/6,IF($F26&lt;=2004,2/3-((($F26-1998)/3)-2)^2-0.5*((($F26-1998)/3)-2)^3,IF($F26&lt;=2007,2/3-((($F26-1998)/3)-2)^2+0.5*((($F26-1998)/3)-2)^3,IF($F26&lt;=2010,(4-(($F26-1998)/3))^3/6,0)))))</f>
        <v>0</v>
      </c>
      <c r="P26" s="16">
        <f>IF($F26&lt;=2001,0,IF($F26&lt;=2004,(($F26-2001)/3)^3/6,IF($F26&lt;=2007,2/3-((($F26-2001)/3)-2)^2-0.5*((($F26-2001)/3)-2)^3,IF($F26&lt;=2010,2/3-((($F26-2001)/3)-2)^2+0.5*((($F26-2001)/3)-2)^3,IF($F26&lt;=2013,(4-(($F26-2001)/3))^3/6,0)))))</f>
        <v>0</v>
      </c>
      <c r="Q26" s="16">
        <f>IF($F26&lt;=2004,0,IF($F26&lt;=2007,(($F26-2004)/3)^3/6,IF($F26&lt;=2010,2/3-((($F26-2004)/3)-2)^2-0.5*((($F26-2004)/3)-2)^3,IF($F26&lt;=2013,2/3-((($F26-2004)/3)-2)^2+0.5*((($F26-2004)/3)-2)^3,IF($F26&lt;=2016,(4-(($F26-2004)/3))^3/6,0)))))</f>
        <v>0.049382716049382699</v>
      </c>
      <c r="R26" s="16">
        <f>IF($F26&lt;=2007,0,IF($F26&lt;=2010,(($F26-2007)/3)^3/6,IF($F26&lt;=2013,2/3-((($F26-2007)/3)-2)^2-0.5*((($F26-2007)/3)-2)^3,IF($F26&lt;=2016,2/3-((($F26-2007)/3)-2)^2+0.5*((($F26-2007)/3)-2)^3,IF($F26&lt;=2019,(4-(($F26-2007)/3))^3/6,0)))))</f>
        <v>0.57407407407407396</v>
      </c>
      <c r="S26" s="16">
        <f>IF($F26&lt;=2010,0,IF($F26&lt;=2013,(($F26-2010)/3)^3/6,IF($F26&lt;=2016,2/3-((($F26-2010)/3)-2)^2-0.5*((($F26-2010)/3)-2)^3,IF($F26&lt;=2019,2/3-((($F26-2010)/3)-2)^2+0.5*((($F26-2010)/3)-2)^3,IF($F26&lt;=2022,(4-(($F26-2010)/3))^3/6,0)))))</f>
        <v>0.37037037037037002</v>
      </c>
      <c r="T26" s="16">
        <f>IF($F26&lt;=2013,0,IF($F26&lt;=2016,(($F26-2013)/3)^3/6,IF($F26&lt;=2019,2/3-((($F26-2013)/3)-2)^2-0.5*((($F26-2013)/3)-2)^3,IF($F26&lt;=2022,2/3-((($F26-2013)/3)-2)^2+0.5*((($F26-2013)/3)-2)^3,IF($F26&lt;=2025,(4-(($F26-2013)/3))^3/6,0)))))</f>
        <v>0.00617283950617284</v>
      </c>
      <c r="U26" s="16">
        <f>IF($F26&lt;=2016,0,IF($F26&lt;=2019,(($F26-2016)/3)^3/6,IF($F26&lt;=2022,2/3-((($F26-2016)/3)-2)^2-0.5*((($F26-2016)/3)-2)^3,IF($F26&lt;=2025,2/3-((($F26-2016)/3)-2)^2+0.5*((($F26-2016)/3)-2)^3,IF($F26&lt;=2028,(4-(($F26-2016)/3))^3/6,0)))))</f>
        <v>0</v>
      </c>
    </row>
    <row r="27">
      <c r="A27" s="19" t="n"/>
      <c r="F27" s="18" t="n">
        <v>2015</v>
      </c>
      <c r="H27" s="16">
        <f>SUMPRODUCT(K27:U27,$K$5:$U$5)</f>
        <v>-4.4976783242737</v>
      </c>
      <c r="I27" s="16">
        <f>EXP(H27)</f>
        <v>0.011134817988767601</v>
      </c>
      <c r="J27" s="15" t="inlineStr">
        <is>
          <t>Projected</t>
        </is>
      </c>
      <c r="K27" s="16">
        <f>IF($F27&lt;=1986,0,IF($F27&lt;=1989,(($F27-1986)/3)^3/6,IF($F27&lt;=1992,2/3-((($F27-1986)/3)-2)^2-0.5*((($F27-1986)/3)-2)^3,IF($F27&lt;=1995,2/3-((($F27-1986)/3)-2)^2+0.5*((($F27-1986)/3)-2)^3,IF($F27&lt;=1998,(4-(($F27-1986)/3))^3/6,0)))))</f>
        <v>0</v>
      </c>
      <c r="L27" s="16">
        <f>IF($F27&lt;=1989,0,IF($F27&lt;=1992,(($F27-1989)/3)^3/6,IF($F27&lt;=1995,2/3-((($F27-1989)/3)-2)^2-0.5*((($F27-1989)/3)-2)^3,IF($F27&lt;=1998,2/3-((($F27-1989)/3)-2)^2+0.5*((($F27-1989)/3)-2)^3,IF($F27&lt;=2001,(4-(($F27-1989)/3))^3/6,0)))))</f>
        <v>0</v>
      </c>
      <c r="M27" s="16">
        <f>IF($F27&lt;=1992,0,IF($F27&lt;=1995,(($F27-1992)/3)^3/6,IF($F27&lt;=1998,2/3-((($F27-1992)/3)-2)^2-0.5*((($F27-1992)/3)-2)^3,IF($F27&lt;=2001,2/3-((($F27-1992)/3)-2)^2+0.5*((($F27-1992)/3)-2)^3,IF($F27&lt;=2004,(4-(($F27-1992)/3))^3/6,0)))))</f>
        <v>0</v>
      </c>
      <c r="N27" s="16">
        <f>IF($F27&lt;=1995,0,IF($F27&lt;=1998,(($F27-1995)/3)^3/6,IF($F27&lt;=2001,2/3-((($F27-1995)/3)-2)^2-0.5*((($F27-1995)/3)-2)^3,IF($F27&lt;=2004,2/3-((($F27-1995)/3)-2)^2+0.5*((($F27-1995)/3)-2)^3,IF($F27&lt;=2007,(4-(($F27-1995)/3))^3/6,0)))))</f>
        <v>0</v>
      </c>
      <c r="O27" s="16">
        <f>IF($F27&lt;=1998,0,IF($F27&lt;=2001,(($F27-1998)/3)^3/6,IF($F27&lt;=2004,2/3-((($F27-1998)/3)-2)^2-0.5*((($F27-1998)/3)-2)^3,IF($F27&lt;=2007,2/3-((($F27-1998)/3)-2)^2+0.5*((($F27-1998)/3)-2)^3,IF($F27&lt;=2010,(4-(($F27-1998)/3))^3/6,0)))))</f>
        <v>0</v>
      </c>
      <c r="P27" s="16">
        <f>IF($F27&lt;=2001,0,IF($F27&lt;=2004,(($F27-2001)/3)^3/6,IF($F27&lt;=2007,2/3-((($F27-2001)/3)-2)^2-0.5*((($F27-2001)/3)-2)^3,IF($F27&lt;=2010,2/3-((($F27-2001)/3)-2)^2+0.5*((($F27-2001)/3)-2)^3,IF($F27&lt;=2013,(4-(($F27-2001)/3))^3/6,0)))))</f>
        <v>0</v>
      </c>
      <c r="Q27" s="16">
        <f>IF($F27&lt;=2004,0,IF($F27&lt;=2007,(($F27-2004)/3)^3/6,IF($F27&lt;=2010,2/3-((($F27-2004)/3)-2)^2-0.5*((($F27-2004)/3)-2)^3,IF($F27&lt;=2013,2/3-((($F27-2004)/3)-2)^2+0.5*((($F27-2004)/3)-2)^3,IF($F27&lt;=2016,(4-(($F27-2004)/3))^3/6,0)))))</f>
        <v>0.00617283950617284</v>
      </c>
      <c r="R27" s="16">
        <f>IF($F27&lt;=2007,0,IF($F27&lt;=2010,(($F27-2007)/3)^3/6,IF($F27&lt;=2013,2/3-((($F27-2007)/3)-2)^2-0.5*((($F27-2007)/3)-2)^3,IF($F27&lt;=2016,2/3-((($F27-2007)/3)-2)^2+0.5*((($F27-2007)/3)-2)^3,IF($F27&lt;=2019,(4-(($F27-2007)/3))^3/6,0)))))</f>
        <v>0.37037037037037002</v>
      </c>
      <c r="S27" s="16">
        <f>IF($F27&lt;=2010,0,IF($F27&lt;=2013,(($F27-2010)/3)^3/6,IF($F27&lt;=2016,2/3-((($F27-2010)/3)-2)^2-0.5*((($F27-2010)/3)-2)^3,IF($F27&lt;=2019,2/3-((($F27-2010)/3)-2)^2+0.5*((($F27-2010)/3)-2)^3,IF($F27&lt;=2022,(4-(($F27-2010)/3))^3/6,0)))))</f>
        <v>0.57407407407407396</v>
      </c>
      <c r="T27" s="16">
        <f>IF($F27&lt;=2013,0,IF($F27&lt;=2016,(($F27-2013)/3)^3/6,IF($F27&lt;=2019,2/3-((($F27-2013)/3)-2)^2-0.5*((($F27-2013)/3)-2)^3,IF($F27&lt;=2022,2/3-((($F27-2013)/3)-2)^2+0.5*((($F27-2013)/3)-2)^3,IF($F27&lt;=2025,(4-(($F27-2013)/3))^3/6,0)))))</f>
        <v>0.049382716049382699</v>
      </c>
      <c r="U27" s="16">
        <f>IF($F27&lt;=2016,0,IF($F27&lt;=2019,(($F27-2016)/3)^3/6,IF($F27&lt;=2022,2/3-((($F27-2016)/3)-2)^2-0.5*((($F27-2016)/3)-2)^3,IF($F27&lt;=2025,2/3-((($F27-2016)/3)-2)^2+0.5*((($F27-2016)/3)-2)^3,IF($F27&lt;=2028,(4-(($F27-2016)/3))^3/6,0)))))</f>
        <v>0</v>
      </c>
    </row>
    <row r="28">
      <c r="A28" s="19" t="n"/>
      <c r="F28" s="18" t="n">
        <v>2016</v>
      </c>
      <c r="H28" s="16">
        <f>SUMPRODUCT(K28:U28,$K$5:$U$5)</f>
        <v>-4.53347111889072</v>
      </c>
      <c r="I28" s="16">
        <f>EXP(H28)</f>
        <v>0.0107433199356764</v>
      </c>
      <c r="J28" s="15" t="inlineStr">
        <is>
          <t>Projected</t>
        </is>
      </c>
      <c r="K28" s="16">
        <f>IF($F28&lt;=1986,0,IF($F28&lt;=1989,(($F28-1986)/3)^3/6,IF($F28&lt;=1992,2/3-((($F28-1986)/3)-2)^2-0.5*((($F28-1986)/3)-2)^3,IF($F28&lt;=1995,2/3-((($F28-1986)/3)-2)^2+0.5*((($F28-1986)/3)-2)^3,IF($F28&lt;=1998,(4-(($F28-1986)/3))^3/6,0)))))</f>
        <v>0</v>
      </c>
      <c r="L28" s="16">
        <f>IF($F28&lt;=1989,0,IF($F28&lt;=1992,(($F28-1989)/3)^3/6,IF($F28&lt;=1995,2/3-((($F28-1989)/3)-2)^2-0.5*((($F28-1989)/3)-2)^3,IF($F28&lt;=1998,2/3-((($F28-1989)/3)-2)^2+0.5*((($F28-1989)/3)-2)^3,IF($F28&lt;=2001,(4-(($F28-1989)/3))^3/6,0)))))</f>
        <v>0</v>
      </c>
      <c r="M28" s="16">
        <f>IF($F28&lt;=1992,0,IF($F28&lt;=1995,(($F28-1992)/3)^3/6,IF($F28&lt;=1998,2/3-((($F28-1992)/3)-2)^2-0.5*((($F28-1992)/3)-2)^3,IF($F28&lt;=2001,2/3-((($F28-1992)/3)-2)^2+0.5*((($F28-1992)/3)-2)^3,IF($F28&lt;=2004,(4-(($F28-1992)/3))^3/6,0)))))</f>
        <v>0</v>
      </c>
      <c r="N28" s="16">
        <f>IF($F28&lt;=1995,0,IF($F28&lt;=1998,(($F28-1995)/3)^3/6,IF($F28&lt;=2001,2/3-((($F28-1995)/3)-2)^2-0.5*((($F28-1995)/3)-2)^3,IF($F28&lt;=2004,2/3-((($F28-1995)/3)-2)^2+0.5*((($F28-1995)/3)-2)^3,IF($F28&lt;=2007,(4-(($F28-1995)/3))^3/6,0)))))</f>
        <v>0</v>
      </c>
      <c r="O28" s="16">
        <f>IF($F28&lt;=1998,0,IF($F28&lt;=2001,(($F28-1998)/3)^3/6,IF($F28&lt;=2004,2/3-((($F28-1998)/3)-2)^2-0.5*((($F28-1998)/3)-2)^3,IF($F28&lt;=2007,2/3-((($F28-1998)/3)-2)^2+0.5*((($F28-1998)/3)-2)^3,IF($F28&lt;=2010,(4-(($F28-1998)/3))^3/6,0)))))</f>
        <v>0</v>
      </c>
      <c r="P28" s="16">
        <f>IF($F28&lt;=2001,0,IF($F28&lt;=2004,(($F28-2001)/3)^3/6,IF($F28&lt;=2007,2/3-((($F28-2001)/3)-2)^2-0.5*((($F28-2001)/3)-2)^3,IF($F28&lt;=2010,2/3-((($F28-2001)/3)-2)^2+0.5*((($F28-2001)/3)-2)^3,IF($F28&lt;=2013,(4-(($F28-2001)/3))^3/6,0)))))</f>
        <v>0</v>
      </c>
      <c r="Q28" s="16">
        <f>IF($F28&lt;=2004,0,IF($F28&lt;=2007,(($F28-2004)/3)^3/6,IF($F28&lt;=2010,2/3-((($F28-2004)/3)-2)^2-0.5*((($F28-2004)/3)-2)^3,IF($F28&lt;=2013,2/3-((($F28-2004)/3)-2)^2+0.5*((($F28-2004)/3)-2)^3,IF($F28&lt;=2016,(4-(($F28-2004)/3))^3/6,0)))))</f>
        <v>0</v>
      </c>
      <c r="R28" s="16">
        <f>IF($F28&lt;=2007,0,IF($F28&lt;=2010,(($F28-2007)/3)^3/6,IF($F28&lt;=2013,2/3-((($F28-2007)/3)-2)^2-0.5*((($F28-2007)/3)-2)^3,IF($F28&lt;=2016,2/3-((($F28-2007)/3)-2)^2+0.5*((($F28-2007)/3)-2)^3,IF($F28&lt;=2019,(4-(($F28-2007)/3))^3/6,0)))))</f>
        <v>0.16666666666666699</v>
      </c>
      <c r="S28" s="16">
        <f>IF($F28&lt;=2010,0,IF($F28&lt;=2013,(($F28-2010)/3)^3/6,IF($F28&lt;=2016,2/3-((($F28-2010)/3)-2)^2-0.5*((($F28-2010)/3)-2)^3,IF($F28&lt;=2019,2/3-((($F28-2010)/3)-2)^2+0.5*((($F28-2010)/3)-2)^3,IF($F28&lt;=2022,(4-(($F28-2010)/3))^3/6,0)))))</f>
        <v>0.66666666666666696</v>
      </c>
      <c r="T28" s="16">
        <f>IF($F28&lt;=2013,0,IF($F28&lt;=2016,(($F28-2013)/3)^3/6,IF($F28&lt;=2019,2/3-((($F28-2013)/3)-2)^2-0.5*((($F28-2013)/3)-2)^3,IF($F28&lt;=2022,2/3-((($F28-2013)/3)-2)^2+0.5*((($F28-2013)/3)-2)^3,IF($F28&lt;=2025,(4-(($F28-2013)/3))^3/6,0)))))</f>
        <v>0.16666666666666699</v>
      </c>
      <c r="U28" s="16">
        <f>IF($F28&lt;=2016,0,IF($F28&lt;=2019,(($F28-2016)/3)^3/6,IF($F28&lt;=2022,2/3-((($F28-2016)/3)-2)^2-0.5*((($F28-2016)/3)-2)^3,IF($F28&lt;=2025,2/3-((($F28-2016)/3)-2)^2+0.5*((($F28-2016)/3)-2)^3,IF($F28&lt;=2028,(4-(($F28-2016)/3))^3/6,0)))))</f>
        <v>0</v>
      </c>
    </row>
    <row r="29">
      <c r="A29" s="19" t="n"/>
      <c r="F29" s="18" t="n">
        <v>2017</v>
      </c>
      <c r="H29" s="16">
        <f>SUMPRODUCT(K29:U29,$K$5:$U$5)</f>
        <v>-4.56926391350774</v>
      </c>
      <c r="I29" s="16">
        <f>EXP(H29)</f>
        <v>0.010365586878629899</v>
      </c>
      <c r="J29" s="15" t="inlineStr">
        <is>
          <t>Projected</t>
        </is>
      </c>
      <c r="K29" s="16">
        <f>IF($F29&lt;=1986,0,IF($F29&lt;=1989,(($F29-1986)/3)^3/6,IF($F29&lt;=1992,2/3-((($F29-1986)/3)-2)^2-0.5*((($F29-1986)/3)-2)^3,IF($F29&lt;=1995,2/3-((($F29-1986)/3)-2)^2+0.5*((($F29-1986)/3)-2)^3,IF($F29&lt;=1998,(4-(($F29-1986)/3))^3/6,0)))))</f>
        <v>0</v>
      </c>
      <c r="L29" s="16">
        <f>IF($F29&lt;=1989,0,IF($F29&lt;=1992,(($F29-1989)/3)^3/6,IF($F29&lt;=1995,2/3-((($F29-1989)/3)-2)^2-0.5*((($F29-1989)/3)-2)^3,IF($F29&lt;=1998,2/3-((($F29-1989)/3)-2)^2+0.5*((($F29-1989)/3)-2)^3,IF($F29&lt;=2001,(4-(($F29-1989)/3))^3/6,0)))))</f>
        <v>0</v>
      </c>
      <c r="M29" s="16">
        <f>IF($F29&lt;=1992,0,IF($F29&lt;=1995,(($F29-1992)/3)^3/6,IF($F29&lt;=1998,2/3-((($F29-1992)/3)-2)^2-0.5*((($F29-1992)/3)-2)^3,IF($F29&lt;=2001,2/3-((($F29-1992)/3)-2)^2+0.5*((($F29-1992)/3)-2)^3,IF($F29&lt;=2004,(4-(($F29-1992)/3))^3/6,0)))))</f>
        <v>0</v>
      </c>
      <c r="N29" s="16">
        <f>IF($F29&lt;=1995,0,IF($F29&lt;=1998,(($F29-1995)/3)^3/6,IF($F29&lt;=2001,2/3-((($F29-1995)/3)-2)^2-0.5*((($F29-1995)/3)-2)^3,IF($F29&lt;=2004,2/3-((($F29-1995)/3)-2)^2+0.5*((($F29-1995)/3)-2)^3,IF($F29&lt;=2007,(4-(($F29-1995)/3))^3/6,0)))))</f>
        <v>0</v>
      </c>
      <c r="O29" s="16">
        <f>IF($F29&lt;=1998,0,IF($F29&lt;=2001,(($F29-1998)/3)^3/6,IF($F29&lt;=2004,2/3-((($F29-1998)/3)-2)^2-0.5*((($F29-1998)/3)-2)^3,IF($F29&lt;=2007,2/3-((($F29-1998)/3)-2)^2+0.5*((($F29-1998)/3)-2)^3,IF($F29&lt;=2010,(4-(($F29-1998)/3))^3/6,0)))))</f>
        <v>0</v>
      </c>
      <c r="P29" s="16">
        <f>IF($F29&lt;=2001,0,IF($F29&lt;=2004,(($F29-2001)/3)^3/6,IF($F29&lt;=2007,2/3-((($F29-2001)/3)-2)^2-0.5*((($F29-2001)/3)-2)^3,IF($F29&lt;=2010,2/3-((($F29-2001)/3)-2)^2+0.5*((($F29-2001)/3)-2)^3,IF($F29&lt;=2013,(4-(($F29-2001)/3))^3/6,0)))))</f>
        <v>0</v>
      </c>
      <c r="Q29" s="16">
        <f>IF($F29&lt;=2004,0,IF($F29&lt;=2007,(($F29-2004)/3)^3/6,IF($F29&lt;=2010,2/3-((($F29-2004)/3)-2)^2-0.5*((($F29-2004)/3)-2)^3,IF($F29&lt;=2013,2/3-((($F29-2004)/3)-2)^2+0.5*((($F29-2004)/3)-2)^3,IF($F29&lt;=2016,(4-(($F29-2004)/3))^3/6,0)))))</f>
        <v>0</v>
      </c>
      <c r="R29" s="16">
        <f>IF($F29&lt;=2007,0,IF($F29&lt;=2010,(($F29-2007)/3)^3/6,IF($F29&lt;=2013,2/3-((($F29-2007)/3)-2)^2-0.5*((($F29-2007)/3)-2)^3,IF($F29&lt;=2016,2/3-((($F29-2007)/3)-2)^2+0.5*((($F29-2007)/3)-2)^3,IF($F29&lt;=2019,(4-(($F29-2007)/3))^3/6,0)))))</f>
        <v>0.049382716049382699</v>
      </c>
      <c r="S29" s="16">
        <f>IF($F29&lt;=2010,0,IF($F29&lt;=2013,(($F29-2010)/3)^3/6,IF($F29&lt;=2016,2/3-((($F29-2010)/3)-2)^2-0.5*((($F29-2010)/3)-2)^3,IF($F29&lt;=2019,2/3-((($F29-2010)/3)-2)^2+0.5*((($F29-2010)/3)-2)^3,IF($F29&lt;=2022,(4-(($F29-2010)/3))^3/6,0)))))</f>
        <v>0.57407407407407396</v>
      </c>
      <c r="T29" s="16">
        <f>IF($F29&lt;=2013,0,IF($F29&lt;=2016,(($F29-2013)/3)^3/6,IF($F29&lt;=2019,2/3-((($F29-2013)/3)-2)^2-0.5*((($F29-2013)/3)-2)^3,IF($F29&lt;=2022,2/3-((($F29-2013)/3)-2)^2+0.5*((($F29-2013)/3)-2)^3,IF($F29&lt;=2025,(4-(($F29-2013)/3))^3/6,0)))))</f>
        <v>0.37037037037037002</v>
      </c>
      <c r="U29" s="16">
        <f>IF($F29&lt;=2016,0,IF($F29&lt;=2019,(($F29-2016)/3)^3/6,IF($F29&lt;=2022,2/3-((($F29-2016)/3)-2)^2-0.5*((($F29-2016)/3)-2)^3,IF($F29&lt;=2025,2/3-((($F29-2016)/3)-2)^2+0.5*((($F29-2016)/3)-2)^3,IF($F29&lt;=2028,(4-(($F29-2016)/3))^3/6,0)))))</f>
        <v>0.00617283950617284</v>
      </c>
    </row>
    <row r="30">
      <c r="A30" s="19" t="n"/>
      <c r="F30" s="18" t="n">
        <v>2018</v>
      </c>
      <c r="H30" s="16">
        <f>SUMPRODUCT(K30:U30,$K$5:$U$5)</f>
        <v>-4.60505670812476</v>
      </c>
      <c r="I30" s="16">
        <f>EXP(H30)</f>
        <v>0.0100011348430218</v>
      </c>
      <c r="J30" s="15" t="inlineStr">
        <is>
          <t>Projected</t>
        </is>
      </c>
      <c r="K30" s="16">
        <f>IF($F30&lt;=1986,0,IF($F30&lt;=1989,(($F30-1986)/3)^3/6,IF($F30&lt;=1992,2/3-((($F30-1986)/3)-2)^2-0.5*((($F30-1986)/3)-2)^3,IF($F30&lt;=1995,2/3-((($F30-1986)/3)-2)^2+0.5*((($F30-1986)/3)-2)^3,IF($F30&lt;=1998,(4-(($F30-1986)/3))^3/6,0)))))</f>
        <v>0</v>
      </c>
      <c r="L30" s="16">
        <f>IF($F30&lt;=1989,0,IF($F30&lt;=1992,(($F30-1989)/3)^3/6,IF($F30&lt;=1995,2/3-((($F30-1989)/3)-2)^2-0.5*((($F30-1989)/3)-2)^3,IF($F30&lt;=1998,2/3-((($F30-1989)/3)-2)^2+0.5*((($F30-1989)/3)-2)^3,IF($F30&lt;=2001,(4-(($F30-1989)/3))^3/6,0)))))</f>
        <v>0</v>
      </c>
      <c r="M30" s="16">
        <f>IF($F30&lt;=1992,0,IF($F30&lt;=1995,(($F30-1992)/3)^3/6,IF($F30&lt;=1998,2/3-((($F30-1992)/3)-2)^2-0.5*((($F30-1992)/3)-2)^3,IF($F30&lt;=2001,2/3-((($F30-1992)/3)-2)^2+0.5*((($F30-1992)/3)-2)^3,IF($F30&lt;=2004,(4-(($F30-1992)/3))^3/6,0)))))</f>
        <v>0</v>
      </c>
      <c r="N30" s="16">
        <f>IF($F30&lt;=1995,0,IF($F30&lt;=1998,(($F30-1995)/3)^3/6,IF($F30&lt;=2001,2/3-((($F30-1995)/3)-2)^2-0.5*((($F30-1995)/3)-2)^3,IF($F30&lt;=2004,2/3-((($F30-1995)/3)-2)^2+0.5*((($F30-1995)/3)-2)^3,IF($F30&lt;=2007,(4-(($F30-1995)/3))^3/6,0)))))</f>
        <v>0</v>
      </c>
      <c r="O30" s="16">
        <f>IF($F30&lt;=1998,0,IF($F30&lt;=2001,(($F30-1998)/3)^3/6,IF($F30&lt;=2004,2/3-((($F30-1998)/3)-2)^2-0.5*((($F30-1998)/3)-2)^3,IF($F30&lt;=2007,2/3-((($F30-1998)/3)-2)^2+0.5*((($F30-1998)/3)-2)^3,IF($F30&lt;=2010,(4-(($F30-1998)/3))^3/6,0)))))</f>
        <v>0</v>
      </c>
      <c r="P30" s="16">
        <f>IF($F30&lt;=2001,0,IF($F30&lt;=2004,(($F30-2001)/3)^3/6,IF($F30&lt;=2007,2/3-((($F30-2001)/3)-2)^2-0.5*((($F30-2001)/3)-2)^3,IF($F30&lt;=2010,2/3-((($F30-2001)/3)-2)^2+0.5*((($F30-2001)/3)-2)^3,IF($F30&lt;=2013,(4-(($F30-2001)/3))^3/6,0)))))</f>
        <v>0</v>
      </c>
      <c r="Q30" s="16">
        <f>IF($F30&lt;=2004,0,IF($F30&lt;=2007,(($F30-2004)/3)^3/6,IF($F30&lt;=2010,2/3-((($F30-2004)/3)-2)^2-0.5*((($F30-2004)/3)-2)^3,IF($F30&lt;=2013,2/3-((($F30-2004)/3)-2)^2+0.5*((($F30-2004)/3)-2)^3,IF($F30&lt;=2016,(4-(($F30-2004)/3))^3/6,0)))))</f>
        <v>0</v>
      </c>
      <c r="R30" s="16">
        <f>IF($F30&lt;=2007,0,IF($F30&lt;=2010,(($F30-2007)/3)^3/6,IF($F30&lt;=2013,2/3-((($F30-2007)/3)-2)^2-0.5*((($F30-2007)/3)-2)^3,IF($F30&lt;=2016,2/3-((($F30-2007)/3)-2)^2+0.5*((($F30-2007)/3)-2)^3,IF($F30&lt;=2019,(4-(($F30-2007)/3))^3/6,0)))))</f>
        <v>0.00617283950617284</v>
      </c>
      <c r="S30" s="16">
        <f>IF($F30&lt;=2010,0,IF($F30&lt;=2013,(($F30-2010)/3)^3/6,IF($F30&lt;=2016,2/3-((($F30-2010)/3)-2)^2-0.5*((($F30-2010)/3)-2)^3,IF($F30&lt;=2019,2/3-((($F30-2010)/3)-2)^2+0.5*((($F30-2010)/3)-2)^3,IF($F30&lt;=2022,(4-(($F30-2010)/3))^3/6,0)))))</f>
        <v>0.37037037037037002</v>
      </c>
      <c r="T30" s="16">
        <f>IF($F30&lt;=2013,0,IF($F30&lt;=2016,(($F30-2013)/3)^3/6,IF($F30&lt;=2019,2/3-((($F30-2013)/3)-2)^2-0.5*((($F30-2013)/3)-2)^3,IF($F30&lt;=2022,2/3-((($F30-2013)/3)-2)^2+0.5*((($F30-2013)/3)-2)^3,IF($F30&lt;=2025,(4-(($F30-2013)/3))^3/6,0)))))</f>
        <v>0.57407407407407396</v>
      </c>
      <c r="U30" s="16">
        <f>IF($F30&lt;=2016,0,IF($F30&lt;=2019,(($F30-2016)/3)^3/6,IF($F30&lt;=2022,2/3-((($F30-2016)/3)-2)^2-0.5*((($F30-2016)/3)-2)^3,IF($F30&lt;=2025,2/3-((($F30-2016)/3)-2)^2+0.5*((($F30-2016)/3)-2)^3,IF($F30&lt;=2028,(4-(($F30-2016)/3))^3/6,0)))))</f>
        <v>0.049382716049382699</v>
      </c>
    </row>
    <row r="31">
      <c r="A31" s="19" t="n"/>
      <c r="F31" s="18" t="n">
        <v>2019</v>
      </c>
      <c r="H31" s="16">
        <f>SUMPRODUCT(K31:U31,$K$5:$U$5)</f>
        <v>-4.64084950274178</v>
      </c>
      <c r="I31" s="16">
        <f>EXP(H31)</f>
        <v>0.0096494968706997402</v>
      </c>
      <c r="J31" s="15" t="inlineStr">
        <is>
          <t>Projected</t>
        </is>
      </c>
      <c r="K31" s="16">
        <f>IF($F31&lt;=1986,0,IF($F31&lt;=1989,(($F31-1986)/3)^3/6,IF($F31&lt;=1992,2/3-((($F31-1986)/3)-2)^2-0.5*((($F31-1986)/3)-2)^3,IF($F31&lt;=1995,2/3-((($F31-1986)/3)-2)^2+0.5*((($F31-1986)/3)-2)^3,IF($F31&lt;=1998,(4-(($F31-1986)/3))^3/6,0)))))</f>
        <v>0</v>
      </c>
      <c r="L31" s="16">
        <f>IF($F31&lt;=1989,0,IF($F31&lt;=1992,(($F31-1989)/3)^3/6,IF($F31&lt;=1995,2/3-((($F31-1989)/3)-2)^2-0.5*((($F31-1989)/3)-2)^3,IF($F31&lt;=1998,2/3-((($F31-1989)/3)-2)^2+0.5*((($F31-1989)/3)-2)^3,IF($F31&lt;=2001,(4-(($F31-1989)/3))^3/6,0)))))</f>
        <v>0</v>
      </c>
      <c r="M31" s="16">
        <f>IF($F31&lt;=1992,0,IF($F31&lt;=1995,(($F31-1992)/3)^3/6,IF($F31&lt;=1998,2/3-((($F31-1992)/3)-2)^2-0.5*((($F31-1992)/3)-2)^3,IF($F31&lt;=2001,2/3-((($F31-1992)/3)-2)^2+0.5*((($F31-1992)/3)-2)^3,IF($F31&lt;=2004,(4-(($F31-1992)/3))^3/6,0)))))</f>
        <v>0</v>
      </c>
      <c r="N31" s="16">
        <f>IF($F31&lt;=1995,0,IF($F31&lt;=1998,(($F31-1995)/3)^3/6,IF($F31&lt;=2001,2/3-((($F31-1995)/3)-2)^2-0.5*((($F31-1995)/3)-2)^3,IF($F31&lt;=2004,2/3-((($F31-1995)/3)-2)^2+0.5*((($F31-1995)/3)-2)^3,IF($F31&lt;=2007,(4-(($F31-1995)/3))^3/6,0)))))</f>
        <v>0</v>
      </c>
      <c r="O31" s="16">
        <f>IF($F31&lt;=1998,0,IF($F31&lt;=2001,(($F31-1998)/3)^3/6,IF($F31&lt;=2004,2/3-((($F31-1998)/3)-2)^2-0.5*((($F31-1998)/3)-2)^3,IF($F31&lt;=2007,2/3-((($F31-1998)/3)-2)^2+0.5*((($F31-1998)/3)-2)^3,IF($F31&lt;=2010,(4-(($F31-1998)/3))^3/6,0)))))</f>
        <v>0</v>
      </c>
      <c r="P31" s="16">
        <f>IF($F31&lt;=2001,0,IF($F31&lt;=2004,(($F31-2001)/3)^3/6,IF($F31&lt;=2007,2/3-((($F31-2001)/3)-2)^2-0.5*((($F31-2001)/3)-2)^3,IF($F31&lt;=2010,2/3-((($F31-2001)/3)-2)^2+0.5*((($F31-2001)/3)-2)^3,IF($F31&lt;=2013,(4-(($F31-2001)/3))^3/6,0)))))</f>
        <v>0</v>
      </c>
      <c r="Q31" s="16">
        <f>IF($F31&lt;=2004,0,IF($F31&lt;=2007,(($F31-2004)/3)^3/6,IF($F31&lt;=2010,2/3-((($F31-2004)/3)-2)^2-0.5*((($F31-2004)/3)-2)^3,IF($F31&lt;=2013,2/3-((($F31-2004)/3)-2)^2+0.5*((($F31-2004)/3)-2)^3,IF($F31&lt;=2016,(4-(($F31-2004)/3))^3/6,0)))))</f>
        <v>0</v>
      </c>
      <c r="R31" s="16">
        <f>IF($F31&lt;=2007,0,IF($F31&lt;=2010,(($F31-2007)/3)^3/6,IF($F31&lt;=2013,2/3-((($F31-2007)/3)-2)^2-0.5*((($F31-2007)/3)-2)^3,IF($F31&lt;=2016,2/3-((($F31-2007)/3)-2)^2+0.5*((($F31-2007)/3)-2)^3,IF($F31&lt;=2019,(4-(($F31-2007)/3))^3/6,0)))))</f>
        <v>0</v>
      </c>
      <c r="S31" s="16">
        <f>IF($F31&lt;=2010,0,IF($F31&lt;=2013,(($F31-2010)/3)^3/6,IF($F31&lt;=2016,2/3-((($F31-2010)/3)-2)^2-0.5*((($F31-2010)/3)-2)^3,IF($F31&lt;=2019,2/3-((($F31-2010)/3)-2)^2+0.5*((($F31-2010)/3)-2)^3,IF($F31&lt;=2022,(4-(($F31-2010)/3))^3/6,0)))))</f>
        <v>0.16666666666666699</v>
      </c>
      <c r="T31" s="16">
        <f>IF($F31&lt;=2013,0,IF($F31&lt;=2016,(($F31-2013)/3)^3/6,IF($F31&lt;=2019,2/3-((($F31-2013)/3)-2)^2-0.5*((($F31-2013)/3)-2)^3,IF($F31&lt;=2022,2/3-((($F31-2013)/3)-2)^2+0.5*((($F31-2013)/3)-2)^3,IF($F31&lt;=2025,(4-(($F31-2013)/3))^3/6,0)))))</f>
        <v>0.66666666666666696</v>
      </c>
      <c r="U31" s="16">
        <f>IF($F31&lt;=2016,0,IF($F31&lt;=2019,(($F31-2016)/3)^3/6,IF($F31&lt;=2022,2/3-((($F31-2016)/3)-2)^2-0.5*((($F31-2016)/3)-2)^3,IF($F31&lt;=2025,2/3-((($F31-2016)/3)-2)^2+0.5*((($F31-2016)/3)-2)^3,IF($F31&lt;=2028,(4-(($F31-2016)/3))^3/6,0)))))</f>
        <v>0.16666666666666699</v>
      </c>
    </row>
    <row r="32">
      <c r="A32" s="19" t="n"/>
      <c r="F32" s="19" t="n"/>
    </row>
    <row r="33">
      <c r="A33" s="19" t="n"/>
      <c r="F33" s="19" t="n"/>
    </row>
    <row r="34"/>
    <row r="35"/>
    <row r="36"/>
    <row r="37">
      <c r="A37" s="13" t="inlineStr">
        <is>
          <t>Requested forecast years</t>
        </is>
      </c>
    </row>
    <row r="38"/>
    <row r="39">
      <c r="A39" s="15" t="inlineStr">
        <is>
          <t>Year</t>
        </is>
      </c>
      <c r="B39" s="15" t="inlineStr">
        <is>
          <t>Mortality projection</t>
        </is>
      </c>
    </row>
    <row r="40">
      <c r="A40" s="15" t="n">
        <v>2007</v>
      </c>
      <c r="B40" s="16">
        <f>INDEX($I$7:$I$31,MATCH(A40,$F$7:$F$31,0))</f>
        <v>0.014826547317972</v>
      </c>
    </row>
    <row r="41">
      <c r="A41" s="15" t="n">
        <v>2010</v>
      </c>
      <c r="B41" s="16">
        <f>INDEX($I$7:$I$31,MATCH(A41,$F$7:$F$31,0))</f>
        <v>0.0133169935182653</v>
      </c>
    </row>
    <row r="42">
      <c r="A42" s="15" t="n">
        <v>2013</v>
      </c>
      <c r="B42" s="16">
        <f>INDEX($I$7:$I$31,MATCH(A42,$F$7:$F$31,0))</f>
        <v>0.0119611338069621</v>
      </c>
    </row>
    <row r="43">
      <c r="A43" s="15" t="n">
        <v>2016</v>
      </c>
      <c r="B43" s="16">
        <f>INDEX($I$7:$I$31,MATCH(A43,$F$7:$F$31,0))</f>
        <v>0.0107433199356764</v>
      </c>
    </row>
    <row r="44">
      <c r="A44" s="15" t="n">
        <v>2019</v>
      </c>
      <c r="B44" s="16">
        <f>INDEX($I$7:$I$31,MATCH(A44,$F$7:$F$31,0))</f>
        <v>0.0096494968706997402</v>
      </c>
    </row>
  </sheetData>
  <mergeCells count="1">
    <mergeCell ref="A2:P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</cols>
  <sheetData>
    <row r="1">
      <c r="A1" s="13" t="inlineStr">
        <is>
          <t>Q2(c)_M1 — Week 11 fitting layout</t>
        </is>
      </c>
    </row>
    <row r="2" ht="36" customHeight="1">
      <c r="A2" s="2" t="inlineStr">
        <is>
          <t>Fourth-order B-splines; fit LN(m). Coefficients are numeric Solver decision cells, as in Week11_Q1sol.xlsx. All basis functions, fitted values, differences, errors and objective calculations are Excel formulas.</t>
        </is>
      </c>
    </row>
    <row r="3" ht="36" customHeight="1">
      <c r="A3" s="2" t="inlineStr">
        <is>
          <t>Part (b) uses only the four assignment observations. Part (c) refits M1 and M2 independently on M_70_t observations for 1995–2004, following the instructor correction.</t>
        </is>
      </c>
    </row>
    <row r="4"/>
    <row r="5"/>
    <row r="6" ht="32" customHeight="1">
      <c r="D6" s="14" t="n">
        <v>1986</v>
      </c>
      <c r="E6" s="14" t="n">
        <v>1989</v>
      </c>
      <c r="F6" s="14" t="n">
        <v>1992</v>
      </c>
      <c r="G6" s="14" t="n">
        <v>1995</v>
      </c>
      <c r="H6" s="14" t="n">
        <v>1998</v>
      </c>
      <c r="I6" s="14" t="n">
        <v>2001</v>
      </c>
    </row>
    <row r="7" ht="32" customHeight="1">
      <c r="A7" s="14" t="inlineStr">
        <is>
          <t>Year</t>
        </is>
      </c>
      <c r="B7" s="14" t="inlineStr">
        <is>
          <t>Observed mortality m</t>
        </is>
      </c>
      <c r="C7" s="14" t="inlineStr">
        <is>
          <t>LN(m)</t>
        </is>
      </c>
      <c r="D7" s="14" t="inlineStr">
        <is>
          <t>B_1986,4(t)</t>
        </is>
      </c>
      <c r="E7" s="14" t="inlineStr">
        <is>
          <t>B_1989,4(t)</t>
        </is>
      </c>
      <c r="F7" s="14" t="inlineStr">
        <is>
          <t>B_1992,4(t)</t>
        </is>
      </c>
      <c r="G7" s="14" t="inlineStr">
        <is>
          <t>B_1995,4(t)</t>
        </is>
      </c>
      <c r="H7" s="14" t="inlineStr">
        <is>
          <t>B_1998,4(t)</t>
        </is>
      </c>
      <c r="I7" s="14" t="inlineStr">
        <is>
          <t>B_2001,4(t)</t>
        </is>
      </c>
      <c r="J7" s="14" t="inlineStr">
        <is>
          <t>Fitted LN(m)</t>
        </is>
      </c>
      <c r="K7" s="14" t="inlineStr">
        <is>
          <t>Log residual</t>
        </is>
      </c>
      <c r="L7" s="14" t="inlineStr">
        <is>
          <t>Squared log error</t>
        </is>
      </c>
    </row>
    <row r="8">
      <c r="A8" s="15" t="n">
        <v>1995</v>
      </c>
      <c r="B8" s="16">
        <f>'M_70_t'!B2</f>
        <v>0.00085662921497227005</v>
      </c>
      <c r="C8" s="16">
        <f>LN(B8)</f>
        <v>-7.0625053876299804</v>
      </c>
      <c r="D8" s="16">
        <f>IF($A8&lt;=1986,0,IF($A8&lt;=1989,(($A8-1986)/3)^3/6,IF($A8&lt;=1992,2/3-((($A8-1986)/3)-2)^2-0.5*((($A8-1986)/3)-2)^3,IF($A8&lt;=1995,2/3-((($A8-1986)/3)-2)^2+0.5*((($A8-1986)/3)-2)^3,IF($A8&lt;=1998,(4-(($A8-1986)/3))^3/6,0)))))</f>
        <v>0.16666666666666699</v>
      </c>
      <c r="E8" s="16">
        <f>IF($A8&lt;=1989,0,IF($A8&lt;=1992,(($A8-1989)/3)^3/6,IF($A8&lt;=1995,2/3-((($A8-1989)/3)-2)^2-0.5*((($A8-1989)/3)-2)^3,IF($A8&lt;=1998,2/3-((($A8-1989)/3)-2)^2+0.5*((($A8-1989)/3)-2)^3,IF($A8&lt;=2001,(4-(($A8-1989)/3))^3/6,0)))))</f>
        <v>0.66666666666666696</v>
      </c>
      <c r="F8" s="16">
        <f>IF($A8&lt;=1992,0,IF($A8&lt;=1995,(($A8-1992)/3)^3/6,IF($A8&lt;=1998,2/3-((($A8-1992)/3)-2)^2-0.5*((($A8-1992)/3)-2)^3,IF($A8&lt;=2001,2/3-((($A8-1992)/3)-2)^2+0.5*((($A8-1992)/3)-2)^3,IF($A8&lt;=2004,(4-(($A8-1992)/3))^3/6,0)))))</f>
        <v>0.16666666666666699</v>
      </c>
      <c r="G8" s="16">
        <f>IF($A8&lt;=1995,0,IF($A8&lt;=1998,(($A8-1995)/3)^3/6,IF($A8&lt;=2001,2/3-((($A8-1995)/3)-2)^2-0.5*((($A8-1995)/3)-2)^3,IF($A8&lt;=2004,2/3-((($A8-1995)/3)-2)^2+0.5*((($A8-1995)/3)-2)^3,IF($A8&lt;=2007,(4-(($A8-1995)/3))^3/6,0)))))</f>
        <v>0</v>
      </c>
      <c r="H8" s="16">
        <f>IF($A8&lt;=1998,0,IF($A8&lt;=2001,(($A8-1998)/3)^3/6,IF($A8&lt;=2004,2/3-((($A8-1998)/3)-2)^2-0.5*((($A8-1998)/3)-2)^3,IF($A8&lt;=2007,2/3-((($A8-1998)/3)-2)^2+0.5*((($A8-1998)/3)-2)^3,IF($A8&lt;=2010,(4-(($A8-1998)/3))^3/6,0)))))</f>
        <v>0</v>
      </c>
      <c r="I8" s="16">
        <f>IF($A8&lt;=2001,0,IF($A8&lt;=2004,(($A8-2001)/3)^3/6,IF($A8&lt;=2007,2/3-((($A8-2001)/3)-2)^2-0.5*((($A8-2001)/3)-2)^3,IF($A8&lt;=2010,2/3-((($A8-2001)/3)-2)^2+0.5*((($A8-2001)/3)-2)^3,IF($A8&lt;=2013,(4-(($A8-2001)/3))^3/6,0)))))</f>
        <v>0</v>
      </c>
      <c r="J8" s="16">
        <f>SUMPRODUCT(D8:I8,$B$24:$G$24)</f>
        <v>-7.0463027797259299</v>
      </c>
      <c r="K8" s="16">
        <f>C8-J8</f>
        <v>-0.016202607904042501</v>
      </c>
      <c r="L8" s="16">
        <f>K8^2</f>
        <v>0.00026252450289214002</v>
      </c>
    </row>
    <row r="9">
      <c r="A9" s="15" t="n">
        <v>1996</v>
      </c>
      <c r="B9" s="16">
        <f>'M_70_t'!B3</f>
        <v>0.00082999932605467902</v>
      </c>
      <c r="C9" s="16">
        <f>LN(B9)</f>
        <v>-7.0940856691562804</v>
      </c>
      <c r="D9" s="16">
        <f>IF($A9&lt;=1986,0,IF($A9&lt;=1989,(($A9-1986)/3)^3/6,IF($A9&lt;=1992,2/3-((($A9-1986)/3)-2)^2-0.5*((($A9-1986)/3)-2)^3,IF($A9&lt;=1995,2/3-((($A9-1986)/3)-2)^2+0.5*((($A9-1986)/3)-2)^3,IF($A9&lt;=1998,(4-(($A9-1986)/3))^3/6,0)))))</f>
        <v>0.049382716049382699</v>
      </c>
      <c r="E9" s="16">
        <f>IF($A9&lt;=1989,0,IF($A9&lt;=1992,(($A9-1989)/3)^3/6,IF($A9&lt;=1995,2/3-((($A9-1989)/3)-2)^2-0.5*((($A9-1989)/3)-2)^3,IF($A9&lt;=1998,2/3-((($A9-1989)/3)-2)^2+0.5*((($A9-1989)/3)-2)^3,IF($A9&lt;=2001,(4-(($A9-1989)/3))^3/6,0)))))</f>
        <v>0.57407407407407396</v>
      </c>
      <c r="F9" s="16">
        <f>IF($A9&lt;=1992,0,IF($A9&lt;=1995,(($A9-1992)/3)^3/6,IF($A9&lt;=1998,2/3-((($A9-1992)/3)-2)^2-0.5*((($A9-1992)/3)-2)^3,IF($A9&lt;=2001,2/3-((($A9-1992)/3)-2)^2+0.5*((($A9-1992)/3)-2)^3,IF($A9&lt;=2004,(4-(($A9-1992)/3))^3/6,0)))))</f>
        <v>0.37037037037037002</v>
      </c>
      <c r="G9" s="16">
        <f>IF($A9&lt;=1995,0,IF($A9&lt;=1998,(($A9-1995)/3)^3/6,IF($A9&lt;=2001,2/3-((($A9-1995)/3)-2)^2-0.5*((($A9-1995)/3)-2)^3,IF($A9&lt;=2004,2/3-((($A9-1995)/3)-2)^2+0.5*((($A9-1995)/3)-2)^3,IF($A9&lt;=2007,(4-(($A9-1995)/3))^3/6,0)))))</f>
        <v>0.00617283950617284</v>
      </c>
      <c r="H9" s="16">
        <f>IF($A9&lt;=1998,0,IF($A9&lt;=2001,(($A9-1998)/3)^3/6,IF($A9&lt;=2004,2/3-((($A9-1998)/3)-2)^2-0.5*((($A9-1998)/3)-2)^3,IF($A9&lt;=2007,2/3-((($A9-1998)/3)-2)^2+0.5*((($A9-1998)/3)-2)^3,IF($A9&lt;=2010,(4-(($A9-1998)/3))^3/6,0)))))</f>
        <v>0</v>
      </c>
      <c r="I9" s="16">
        <f>IF($A9&lt;=2001,0,IF($A9&lt;=2004,(($A9-2001)/3)^3/6,IF($A9&lt;=2007,2/3-((($A9-2001)/3)-2)^2-0.5*((($A9-2001)/3)-2)^3,IF($A9&lt;=2010,2/3-((($A9-2001)/3)-2)^2+0.5*((($A9-2001)/3)-2)^3,IF($A9&lt;=2013,(4-(($A9-2001)/3))^3/6,0)))))</f>
        <v>0</v>
      </c>
      <c r="J9" s="16">
        <f>SUMPRODUCT(D9:I9,$B$24:$G$24)</f>
        <v>-7.0436233420826397</v>
      </c>
      <c r="K9" s="16">
        <f>C9-J9</f>
        <v>-0.050462327073630901</v>
      </c>
      <c r="L9" s="16">
        <f>K9^2</f>
        <v>0.0025464464536860999</v>
      </c>
    </row>
    <row r="10">
      <c r="A10" s="15" t="n">
        <v>1997</v>
      </c>
      <c r="B10" s="16">
        <f>'M_70_t'!B4</f>
        <v>0.00080999953267954299</v>
      </c>
      <c r="C10" s="16">
        <f>LN(B10)</f>
        <v>-7.1184768872367901</v>
      </c>
      <c r="D10" s="16">
        <f>IF($A10&lt;=1986,0,IF($A10&lt;=1989,(($A10-1986)/3)^3/6,IF($A10&lt;=1992,2/3-((($A10-1986)/3)-2)^2-0.5*((($A10-1986)/3)-2)^3,IF($A10&lt;=1995,2/3-((($A10-1986)/3)-2)^2+0.5*((($A10-1986)/3)-2)^3,IF($A10&lt;=1998,(4-(($A10-1986)/3))^3/6,0)))))</f>
        <v>0.00617283950617284</v>
      </c>
      <c r="E10" s="16">
        <f>IF($A10&lt;=1989,0,IF($A10&lt;=1992,(($A10-1989)/3)^3/6,IF($A10&lt;=1995,2/3-((($A10-1989)/3)-2)^2-0.5*((($A10-1989)/3)-2)^3,IF($A10&lt;=1998,2/3-((($A10-1989)/3)-2)^2+0.5*((($A10-1989)/3)-2)^3,IF($A10&lt;=2001,(4-(($A10-1989)/3))^3/6,0)))))</f>
        <v>0.37037037037037002</v>
      </c>
      <c r="F10" s="16">
        <f>IF($A10&lt;=1992,0,IF($A10&lt;=1995,(($A10-1992)/3)^3/6,IF($A10&lt;=1998,2/3-((($A10-1992)/3)-2)^2-0.5*((($A10-1992)/3)-2)^3,IF($A10&lt;=2001,2/3-((($A10-1992)/3)-2)^2+0.5*((($A10-1992)/3)-2)^3,IF($A10&lt;=2004,(4-(($A10-1992)/3))^3/6,0)))))</f>
        <v>0.57407407407407396</v>
      </c>
      <c r="G10" s="16">
        <f>IF($A10&lt;=1995,0,IF($A10&lt;=1998,(($A10-1995)/3)^3/6,IF($A10&lt;=2001,2/3-((($A10-1995)/3)-2)^2-0.5*((($A10-1995)/3)-2)^3,IF($A10&lt;=2004,2/3-((($A10-1995)/3)-2)^2+0.5*((($A10-1995)/3)-2)^3,IF($A10&lt;=2007,(4-(($A10-1995)/3))^3/6,0)))))</f>
        <v>0.049382716049382699</v>
      </c>
      <c r="H10" s="16">
        <f>IF($A10&lt;=1998,0,IF($A10&lt;=2001,(($A10-1998)/3)^3/6,IF($A10&lt;=2004,2/3-((($A10-1998)/3)-2)^2-0.5*((($A10-1998)/3)-2)^3,IF($A10&lt;=2007,2/3-((($A10-1998)/3)-2)^2+0.5*((($A10-1998)/3)-2)^3,IF($A10&lt;=2010,(4-(($A10-1998)/3))^3/6,0)))))</f>
        <v>0</v>
      </c>
      <c r="I10" s="16">
        <f>IF($A10&lt;=2001,0,IF($A10&lt;=2004,(($A10-2001)/3)^3/6,IF($A10&lt;=2007,2/3-((($A10-2001)/3)-2)^2-0.5*((($A10-2001)/3)-2)^3,IF($A10&lt;=2010,2/3-((($A10-2001)/3)-2)^2+0.5*((($A10-2001)/3)-2)^3,IF($A10&lt;=2013,(4-(($A10-2001)/3))^3/6,0)))))</f>
        <v>0</v>
      </c>
      <c r="J10" s="16">
        <f>SUMPRODUCT(D10:I10,$B$24:$G$24)</f>
        <v>-7.0461143615493</v>
      </c>
      <c r="K10" s="16">
        <f>C10-J10</f>
        <v>-0.072362525687495405</v>
      </c>
      <c r="L10" s="16">
        <f>K10^2</f>
        <v>0.0052363351238734201</v>
      </c>
    </row>
    <row r="11">
      <c r="A11" s="15" t="n">
        <v>1998</v>
      </c>
      <c r="B11" s="16">
        <f>'M_70_t'!B5</f>
        <v>0.00097750974418243496</v>
      </c>
      <c r="C11" s="16">
        <f>LN(B11)</f>
        <v>-6.9305022976813602</v>
      </c>
      <c r="D11" s="16">
        <f>IF($A11&lt;=1986,0,IF($A11&lt;=1989,(($A11-1986)/3)^3/6,IF($A11&lt;=1992,2/3-((($A11-1986)/3)-2)^2-0.5*((($A11-1986)/3)-2)^3,IF($A11&lt;=1995,2/3-((($A11-1986)/3)-2)^2+0.5*((($A11-1986)/3)-2)^3,IF($A11&lt;=1998,(4-(($A11-1986)/3))^3/6,0)))))</f>
        <v>0</v>
      </c>
      <c r="E11" s="16">
        <f>IF($A11&lt;=1989,0,IF($A11&lt;=1992,(($A11-1989)/3)^3/6,IF($A11&lt;=1995,2/3-((($A11-1989)/3)-2)^2-0.5*((($A11-1989)/3)-2)^3,IF($A11&lt;=1998,2/3-((($A11-1989)/3)-2)^2+0.5*((($A11-1989)/3)-2)^3,IF($A11&lt;=2001,(4-(($A11-1989)/3))^3/6,0)))))</f>
        <v>0.16666666666666699</v>
      </c>
      <c r="F11" s="16">
        <f>IF($A11&lt;=1992,0,IF($A11&lt;=1995,(($A11-1992)/3)^3/6,IF($A11&lt;=1998,2/3-((($A11-1992)/3)-2)^2-0.5*((($A11-1992)/3)-2)^3,IF($A11&lt;=2001,2/3-((($A11-1992)/3)-2)^2+0.5*((($A11-1992)/3)-2)^3,IF($A11&lt;=2004,(4-(($A11-1992)/3))^3/6,0)))))</f>
        <v>0.66666666666666696</v>
      </c>
      <c r="G11" s="16">
        <f>IF($A11&lt;=1995,0,IF($A11&lt;=1998,(($A11-1995)/3)^3/6,IF($A11&lt;=2001,2/3-((($A11-1995)/3)-2)^2-0.5*((($A11-1995)/3)-2)^3,IF($A11&lt;=2004,2/3-((($A11-1995)/3)-2)^2+0.5*((($A11-1995)/3)-2)^3,IF($A11&lt;=2007,(4-(($A11-1995)/3))^3/6,0)))))</f>
        <v>0.16666666666666699</v>
      </c>
      <c r="H11" s="16">
        <f>IF($A11&lt;=1998,0,IF($A11&lt;=2001,(($A11-1998)/3)^3/6,IF($A11&lt;=2004,2/3-((($A11-1998)/3)-2)^2-0.5*((($A11-1998)/3)-2)^3,IF($A11&lt;=2007,2/3-((($A11-1998)/3)-2)^2+0.5*((($A11-1998)/3)-2)^3,IF($A11&lt;=2010,(4-(($A11-1998)/3))^3/6,0)))))</f>
        <v>0</v>
      </c>
      <c r="I11" s="16">
        <f>IF($A11&lt;=2001,0,IF($A11&lt;=2004,(($A11-2001)/3)^3/6,IF($A11&lt;=2007,2/3-((($A11-2001)/3)-2)^2-0.5*((($A11-2001)/3)-2)^3,IF($A11&lt;=2010,2/3-((($A11-2001)/3)-2)^2+0.5*((($A11-2001)/3)-2)^3,IF($A11&lt;=2013,(4-(($A11-2001)/3))^3/6,0)))))</f>
        <v>0</v>
      </c>
      <c r="J11" s="16">
        <f>SUMPRODUCT(D11:I11,$B$24:$G$24)</f>
        <v>-7.0576931655298196</v>
      </c>
      <c r="K11" s="16">
        <f>C11-J11</f>
        <v>0.12719086784845701</v>
      </c>
      <c r="L11" s="16">
        <f>K11^2</f>
        <v>0.0161775168640436</v>
      </c>
    </row>
    <row r="12">
      <c r="A12" s="15" t="n">
        <v>1999</v>
      </c>
      <c r="B12" s="16">
        <f>'M_70_t'!B6</f>
        <v>0.00078849179100953001</v>
      </c>
      <c r="C12" s="16">
        <f>LN(B12)</f>
        <v>-7.1453885625100702</v>
      </c>
      <c r="D12" s="16">
        <f>IF($A12&lt;=1986,0,IF($A12&lt;=1989,(($A12-1986)/3)^3/6,IF($A12&lt;=1992,2/3-((($A12-1986)/3)-2)^2-0.5*((($A12-1986)/3)-2)^3,IF($A12&lt;=1995,2/3-((($A12-1986)/3)-2)^2+0.5*((($A12-1986)/3)-2)^3,IF($A12&lt;=1998,(4-(($A12-1986)/3))^3/6,0)))))</f>
        <v>0</v>
      </c>
      <c r="E12" s="16">
        <f>IF($A12&lt;=1989,0,IF($A12&lt;=1992,(($A12-1989)/3)^3/6,IF($A12&lt;=1995,2/3-((($A12-1989)/3)-2)^2-0.5*((($A12-1989)/3)-2)^3,IF($A12&lt;=1998,2/3-((($A12-1989)/3)-2)^2+0.5*((($A12-1989)/3)-2)^3,IF($A12&lt;=2001,(4-(($A12-1989)/3))^3/6,0)))))</f>
        <v>0.049382716049382699</v>
      </c>
      <c r="F12" s="16">
        <f>IF($A12&lt;=1992,0,IF($A12&lt;=1995,(($A12-1992)/3)^3/6,IF($A12&lt;=1998,2/3-((($A12-1992)/3)-2)^2-0.5*((($A12-1992)/3)-2)^3,IF($A12&lt;=2001,2/3-((($A12-1992)/3)-2)^2+0.5*((($A12-1992)/3)-2)^3,IF($A12&lt;=2004,(4-(($A12-1992)/3))^3/6,0)))))</f>
        <v>0.57407407407407396</v>
      </c>
      <c r="G12" s="16">
        <f>IF($A12&lt;=1995,0,IF($A12&lt;=1998,(($A12-1995)/3)^3/6,IF($A12&lt;=2001,2/3-((($A12-1995)/3)-2)^2-0.5*((($A12-1995)/3)-2)^3,IF($A12&lt;=2004,2/3-((($A12-1995)/3)-2)^2+0.5*((($A12-1995)/3)-2)^3,IF($A12&lt;=2007,(4-(($A12-1995)/3))^3/6,0)))))</f>
        <v>0.37037037037037002</v>
      </c>
      <c r="H12" s="16">
        <f>IF($A12&lt;=1998,0,IF($A12&lt;=2001,(($A12-1998)/3)^3/6,IF($A12&lt;=2004,2/3-((($A12-1998)/3)-2)^2-0.5*((($A12-1998)/3)-2)^3,IF($A12&lt;=2007,2/3-((($A12-1998)/3)-2)^2+0.5*((($A12-1998)/3)-2)^3,IF($A12&lt;=2010,(4-(($A12-1998)/3))^3/6,0)))))</f>
        <v>0.00617283950617284</v>
      </c>
      <c r="I12" s="16">
        <f>IF($A12&lt;=2001,0,IF($A12&lt;=2004,(($A12-2001)/3)^3/6,IF($A12&lt;=2007,2/3-((($A12-2001)/3)-2)^2-0.5*((($A12-2001)/3)-2)^3,IF($A12&lt;=2010,2/3-((($A12-2001)/3)-2)^2+0.5*((($A12-2001)/3)-2)^3,IF($A12&lt;=2013,(4-(($A12-2001)/3))^3/6,0)))))</f>
        <v>0</v>
      </c>
      <c r="J12" s="16">
        <f>SUMPRODUCT(D12:I12,$B$24:$G$24)</f>
        <v>-7.0815902084584401</v>
      </c>
      <c r="K12" s="16">
        <f>C12-J12</f>
        <v>-0.063798354051630896</v>
      </c>
      <c r="L12" s="16">
        <f>K12^2</f>
        <v>0.0040702299796972503</v>
      </c>
    </row>
    <row r="13">
      <c r="A13" s="15" t="n">
        <v>2000</v>
      </c>
      <c r="B13" s="16">
        <f>'M_70_t'!B7</f>
        <v>0.00099667191302858196</v>
      </c>
      <c r="C13" s="16">
        <f>LN(B13)</f>
        <v>-6.9110889163532301</v>
      </c>
      <c r="D13" s="16">
        <f>IF($A13&lt;=1986,0,IF($A13&lt;=1989,(($A13-1986)/3)^3/6,IF($A13&lt;=1992,2/3-((($A13-1986)/3)-2)^2-0.5*((($A13-1986)/3)-2)^3,IF($A13&lt;=1995,2/3-((($A13-1986)/3)-2)^2+0.5*((($A13-1986)/3)-2)^3,IF($A13&lt;=1998,(4-(($A13-1986)/3))^3/6,0)))))</f>
        <v>0</v>
      </c>
      <c r="E13" s="16">
        <f>IF($A13&lt;=1989,0,IF($A13&lt;=1992,(($A13-1989)/3)^3/6,IF($A13&lt;=1995,2/3-((($A13-1989)/3)-2)^2-0.5*((($A13-1989)/3)-2)^3,IF($A13&lt;=1998,2/3-((($A13-1989)/3)-2)^2+0.5*((($A13-1989)/3)-2)^3,IF($A13&lt;=2001,(4-(($A13-1989)/3))^3/6,0)))))</f>
        <v>0.00617283950617284</v>
      </c>
      <c r="F13" s="16">
        <f>IF($A13&lt;=1992,0,IF($A13&lt;=1995,(($A13-1992)/3)^3/6,IF($A13&lt;=1998,2/3-((($A13-1992)/3)-2)^2-0.5*((($A13-1992)/3)-2)^3,IF($A13&lt;=2001,2/3-((($A13-1992)/3)-2)^2+0.5*((($A13-1992)/3)-2)^3,IF($A13&lt;=2004,(4-(($A13-1992)/3))^3/6,0)))))</f>
        <v>0.37037037037037002</v>
      </c>
      <c r="G13" s="16">
        <f>IF($A13&lt;=1995,0,IF($A13&lt;=1998,(($A13-1995)/3)^3/6,IF($A13&lt;=2001,2/3-((($A13-1995)/3)-2)^2-0.5*((($A13-1995)/3)-2)^3,IF($A13&lt;=2004,2/3-((($A13-1995)/3)-2)^2+0.5*((($A13-1995)/3)-2)^3,IF($A13&lt;=2007,(4-(($A13-1995)/3))^3/6,0)))))</f>
        <v>0.57407407407407396</v>
      </c>
      <c r="H13" s="16">
        <f>IF($A13&lt;=1998,0,IF($A13&lt;=2001,(($A13-1998)/3)^3/6,IF($A13&lt;=2004,2/3-((($A13-1998)/3)-2)^2-0.5*((($A13-1998)/3)-2)^3,IF($A13&lt;=2007,2/3-((($A13-1998)/3)-2)^2+0.5*((($A13-1998)/3)-2)^3,IF($A13&lt;=2010,(4-(($A13-1998)/3))^3/6,0)))))</f>
        <v>0.049382716049382699</v>
      </c>
      <c r="I13" s="16">
        <f>IF($A13&lt;=2001,0,IF($A13&lt;=2004,(($A13-2001)/3)^3/6,IF($A13&lt;=2007,2/3-((($A13-2001)/3)-2)^2-0.5*((($A13-2001)/3)-2)^3,IF($A13&lt;=2010,2/3-((($A13-2001)/3)-2)^2+0.5*((($A13-2001)/3)-2)^3,IF($A13&lt;=2013,(4-(($A13-2001)/3))^3/6,0)))))</f>
        <v>0</v>
      </c>
      <c r="J13" s="16">
        <f>SUMPRODUCT(D13:I13,$B$24:$G$24)</f>
        <v>-7.11828845289065</v>
      </c>
      <c r="K13" s="16">
        <f>C13-J13</f>
        <v>0.20719953653742201</v>
      </c>
      <c r="L13" s="16">
        <f>K13^2</f>
        <v>0.042931647941322398</v>
      </c>
    </row>
    <row r="14">
      <c r="A14" s="15" t="n">
        <v>2001</v>
      </c>
      <c r="B14" s="16">
        <f>'M_70_t'!B8</f>
        <v>0.00075112817897161302</v>
      </c>
      <c r="C14" s="16">
        <f>LN(B14)</f>
        <v>-7.1939342430387399</v>
      </c>
      <c r="D14" s="16">
        <f>IF($A14&lt;=1986,0,IF($A14&lt;=1989,(($A14-1986)/3)^3/6,IF($A14&lt;=1992,2/3-((($A14-1986)/3)-2)^2-0.5*((($A14-1986)/3)-2)^3,IF($A14&lt;=1995,2/3-((($A14-1986)/3)-2)^2+0.5*((($A14-1986)/3)-2)^3,IF($A14&lt;=1998,(4-(($A14-1986)/3))^3/6,0)))))</f>
        <v>0</v>
      </c>
      <c r="E14" s="16">
        <f>IF($A14&lt;=1989,0,IF($A14&lt;=1992,(($A14-1989)/3)^3/6,IF($A14&lt;=1995,2/3-((($A14-1989)/3)-2)^2-0.5*((($A14-1989)/3)-2)^3,IF($A14&lt;=1998,2/3-((($A14-1989)/3)-2)^2+0.5*((($A14-1989)/3)-2)^3,IF($A14&lt;=2001,(4-(($A14-1989)/3))^3/6,0)))))</f>
        <v>0</v>
      </c>
      <c r="F14" s="16">
        <f>IF($A14&lt;=1992,0,IF($A14&lt;=1995,(($A14-1992)/3)^3/6,IF($A14&lt;=1998,2/3-((($A14-1992)/3)-2)^2-0.5*((($A14-1992)/3)-2)^3,IF($A14&lt;=2001,2/3-((($A14-1992)/3)-2)^2+0.5*((($A14-1992)/3)-2)^3,IF($A14&lt;=2004,(4-(($A14-1992)/3))^3/6,0)))))</f>
        <v>0.16666666666666699</v>
      </c>
      <c r="G14" s="16">
        <f>IF($A14&lt;=1995,0,IF($A14&lt;=1998,(($A14-1995)/3)^3/6,IF($A14&lt;=2001,2/3-((($A14-1995)/3)-2)^2-0.5*((($A14-1995)/3)-2)^3,IF($A14&lt;=2004,2/3-((($A14-1995)/3)-2)^2+0.5*((($A14-1995)/3)-2)^3,IF($A14&lt;=2007,(4-(($A14-1995)/3))^3/6,0)))))</f>
        <v>0.66666666666666696</v>
      </c>
      <c r="H14" s="16">
        <f>IF($A14&lt;=1998,0,IF($A14&lt;=2001,(($A14-1998)/3)^3/6,IF($A14&lt;=2004,2/3-((($A14-1998)/3)-2)^2-0.5*((($A14-1998)/3)-2)^3,IF($A14&lt;=2007,2/3-((($A14-1998)/3)-2)^2+0.5*((($A14-1998)/3)-2)^3,IF($A14&lt;=2010,(4-(($A14-1998)/3))^3/6,0)))))</f>
        <v>0.16666666666666699</v>
      </c>
      <c r="I14" s="16">
        <f>IF($A14&lt;=2001,0,IF($A14&lt;=2004,(($A14-2001)/3)^3/6,IF($A14&lt;=2007,2/3-((($A14-2001)/3)-2)^2-0.5*((($A14-2001)/3)-2)^3,IF($A14&lt;=2010,2/3-((($A14-2001)/3)-2)^2+0.5*((($A14-2001)/3)-2)^3,IF($A14&lt;=2013,(4-(($A14-2001)/3))^3/6,0)))))</f>
        <v>0</v>
      </c>
      <c r="J14" s="16">
        <f>SUMPRODUCT(D14:I14,$B$24:$G$24)</f>
        <v>-7.1675839884122299</v>
      </c>
      <c r="K14" s="16">
        <f>C14-J14</f>
        <v>-0.026350254626510899</v>
      </c>
      <c r="L14" s="16">
        <f>K14^2</f>
        <v>0.00069433591888195699</v>
      </c>
    </row>
    <row r="15">
      <c r="A15" s="15" t="n">
        <v>2002</v>
      </c>
      <c r="B15" s="16">
        <f>'M_70_t'!B9</f>
        <v>0.00070428750137965703</v>
      </c>
      <c r="C15" s="16">
        <f>LN(B15)</f>
        <v>-7.2583239025301696</v>
      </c>
      <c r="D15" s="16">
        <f>IF($A15&lt;=1986,0,IF($A15&lt;=1989,(($A15-1986)/3)^3/6,IF($A15&lt;=1992,2/3-((($A15-1986)/3)-2)^2-0.5*((($A15-1986)/3)-2)^3,IF($A15&lt;=1995,2/3-((($A15-1986)/3)-2)^2+0.5*((($A15-1986)/3)-2)^3,IF($A15&lt;=1998,(4-(($A15-1986)/3))^3/6,0)))))</f>
        <v>0</v>
      </c>
      <c r="E15" s="16">
        <f>IF($A15&lt;=1989,0,IF($A15&lt;=1992,(($A15-1989)/3)^3/6,IF($A15&lt;=1995,2/3-((($A15-1989)/3)-2)^2-0.5*((($A15-1989)/3)-2)^3,IF($A15&lt;=1998,2/3-((($A15-1989)/3)-2)^2+0.5*((($A15-1989)/3)-2)^3,IF($A15&lt;=2001,(4-(($A15-1989)/3))^3/6,0)))))</f>
        <v>0</v>
      </c>
      <c r="F15" s="16">
        <f>IF($A15&lt;=1992,0,IF($A15&lt;=1995,(($A15-1992)/3)^3/6,IF($A15&lt;=1998,2/3-((($A15-1992)/3)-2)^2-0.5*((($A15-1992)/3)-2)^3,IF($A15&lt;=2001,2/3-((($A15-1992)/3)-2)^2+0.5*((($A15-1992)/3)-2)^3,IF($A15&lt;=2004,(4-(($A15-1992)/3))^3/6,0)))))</f>
        <v>0.049382716049382699</v>
      </c>
      <c r="G15" s="16">
        <f>IF($A15&lt;=1995,0,IF($A15&lt;=1998,(($A15-1995)/3)^3/6,IF($A15&lt;=2001,2/3-((($A15-1995)/3)-2)^2-0.5*((($A15-1995)/3)-2)^3,IF($A15&lt;=2004,2/3-((($A15-1995)/3)-2)^2+0.5*((($A15-1995)/3)-2)^3,IF($A15&lt;=2007,(4-(($A15-1995)/3))^3/6,0)))))</f>
        <v>0.57407407407407396</v>
      </c>
      <c r="H15" s="16">
        <f>IF($A15&lt;=1998,0,IF($A15&lt;=2001,(($A15-1998)/3)^3/6,IF($A15&lt;=2004,2/3-((($A15-1998)/3)-2)^2-0.5*((($A15-1998)/3)-2)^3,IF($A15&lt;=2007,2/3-((($A15-1998)/3)-2)^2+0.5*((($A15-1998)/3)-2)^3,IF($A15&lt;=2010,(4-(($A15-1998)/3))^3/6,0)))))</f>
        <v>0.37037037037037002</v>
      </c>
      <c r="I15" s="16">
        <f>IF($A15&lt;=2001,0,IF($A15&lt;=2004,(($A15-2001)/3)^3/6,IF($A15&lt;=2007,2/3-((($A15-2001)/3)-2)^2-0.5*((($A15-2001)/3)-2)^3,IF($A15&lt;=2010,2/3-((($A15-2001)/3)-2)^2+0.5*((($A15-2001)/3)-2)^3,IF($A15&lt;=2013,(4-(($A15-2001)/3))^3/6,0)))))</f>
        <v>0.00617283950617284</v>
      </c>
      <c r="J15" s="16">
        <f>SUMPRODUCT(D15:I15,$B$24:$G$24)</f>
        <v>-7.2286623972696296</v>
      </c>
      <c r="K15" s="16">
        <f>C15-J15</f>
        <v>-0.029661505260534699</v>
      </c>
      <c r="L15" s="16">
        <f>K15^2</f>
        <v>0.00087980489432072705</v>
      </c>
    </row>
    <row r="16">
      <c r="A16" s="15" t="n">
        <v>2003</v>
      </c>
      <c r="B16" s="16">
        <f>'M_70_t'!B10</f>
        <v>0.00062560881810524603</v>
      </c>
      <c r="C16" s="16">
        <f>LN(B16)</f>
        <v>-7.3767852733957398</v>
      </c>
      <c r="D16" s="16">
        <f>IF($A16&lt;=1986,0,IF($A16&lt;=1989,(($A16-1986)/3)^3/6,IF($A16&lt;=1992,2/3-((($A16-1986)/3)-2)^2-0.5*((($A16-1986)/3)-2)^3,IF($A16&lt;=1995,2/3-((($A16-1986)/3)-2)^2+0.5*((($A16-1986)/3)-2)^3,IF($A16&lt;=1998,(4-(($A16-1986)/3))^3/6,0)))))</f>
        <v>0</v>
      </c>
      <c r="E16" s="16">
        <f>IF($A16&lt;=1989,0,IF($A16&lt;=1992,(($A16-1989)/3)^3/6,IF($A16&lt;=1995,2/3-((($A16-1989)/3)-2)^2-0.5*((($A16-1989)/3)-2)^3,IF($A16&lt;=1998,2/3-((($A16-1989)/3)-2)^2+0.5*((($A16-1989)/3)-2)^3,IF($A16&lt;=2001,(4-(($A16-1989)/3))^3/6,0)))))</f>
        <v>0</v>
      </c>
      <c r="F16" s="16">
        <f>IF($A16&lt;=1992,0,IF($A16&lt;=1995,(($A16-1992)/3)^3/6,IF($A16&lt;=1998,2/3-((($A16-1992)/3)-2)^2-0.5*((($A16-1992)/3)-2)^3,IF($A16&lt;=2001,2/3-((($A16-1992)/3)-2)^2+0.5*((($A16-1992)/3)-2)^3,IF($A16&lt;=2004,(4-(($A16-1992)/3))^3/6,0)))))</f>
        <v>0.00617283950617284</v>
      </c>
      <c r="G16" s="16">
        <f>IF($A16&lt;=1995,0,IF($A16&lt;=1998,(($A16-1995)/3)^3/6,IF($A16&lt;=2001,2/3-((($A16-1995)/3)-2)^2-0.5*((($A16-1995)/3)-2)^3,IF($A16&lt;=2004,2/3-((($A16-1995)/3)-2)^2+0.5*((($A16-1995)/3)-2)^3,IF($A16&lt;=2007,(4-(($A16-1995)/3))^3/6,0)))))</f>
        <v>0.37037037037037002</v>
      </c>
      <c r="H16" s="16">
        <f>IF($A16&lt;=1998,0,IF($A16&lt;=2001,(($A16-1998)/3)^3/6,IF($A16&lt;=2004,2/3-((($A16-1998)/3)-2)^2-0.5*((($A16-1998)/3)-2)^3,IF($A16&lt;=2007,2/3-((($A16-1998)/3)-2)^2+0.5*((($A16-1998)/3)-2)^3,IF($A16&lt;=2010,(4-(($A16-1998)/3))^3/6,0)))))</f>
        <v>0.57407407407407396</v>
      </c>
      <c r="I16" s="16">
        <f>IF($A16&lt;=2001,0,IF($A16&lt;=2004,(($A16-2001)/3)^3/6,IF($A16&lt;=2007,2/3-((($A16-2001)/3)-2)^2-0.5*((($A16-2001)/3)-2)^3,IF($A16&lt;=2010,2/3-((($A16-2001)/3)-2)^2+0.5*((($A16-2001)/3)-2)^3,IF($A16&lt;=2013,(4-(($A16-2001)/3))^3/6,0)))))</f>
        <v>0.049382716049382699</v>
      </c>
      <c r="J16" s="16">
        <f>SUMPRODUCT(D16:I16,$B$24:$G$24)</f>
        <v>-7.2982672323519697</v>
      </c>
      <c r="K16" s="16">
        <f>C16-J16</f>
        <v>-0.078518041043769998</v>
      </c>
      <c r="L16" s="16">
        <f>K16^2</f>
        <v>0.0061650827693511502</v>
      </c>
    </row>
    <row r="17">
      <c r="A17" s="15" t="n">
        <v>2004</v>
      </c>
      <c r="B17" s="16">
        <f>'M_70_t'!B11</f>
        <v>0.00063014139456242795</v>
      </c>
      <c r="C17" s="16">
        <f>LN(B17)</f>
        <v>-7.3695663279472701</v>
      </c>
      <c r="D17" s="16">
        <f>IF($A17&lt;=1986,0,IF($A17&lt;=1989,(($A17-1986)/3)^3/6,IF($A17&lt;=1992,2/3-((($A17-1986)/3)-2)^2-0.5*((($A17-1986)/3)-2)^3,IF($A17&lt;=1995,2/3-((($A17-1986)/3)-2)^2+0.5*((($A17-1986)/3)-2)^3,IF($A17&lt;=1998,(4-(($A17-1986)/3))^3/6,0)))))</f>
        <v>0</v>
      </c>
      <c r="E17" s="16">
        <f>IF($A17&lt;=1989,0,IF($A17&lt;=1992,(($A17-1989)/3)^3/6,IF($A17&lt;=1995,2/3-((($A17-1989)/3)-2)^2-0.5*((($A17-1989)/3)-2)^3,IF($A17&lt;=1998,2/3-((($A17-1989)/3)-2)^2+0.5*((($A17-1989)/3)-2)^3,IF($A17&lt;=2001,(4-(($A17-1989)/3))^3/6,0)))))</f>
        <v>0</v>
      </c>
      <c r="F17" s="16">
        <f>IF($A17&lt;=1992,0,IF($A17&lt;=1995,(($A17-1992)/3)^3/6,IF($A17&lt;=1998,2/3-((($A17-1992)/3)-2)^2-0.5*((($A17-1992)/3)-2)^3,IF($A17&lt;=2001,2/3-((($A17-1992)/3)-2)^2+0.5*((($A17-1992)/3)-2)^3,IF($A17&lt;=2004,(4-(($A17-1992)/3))^3/6,0)))))</f>
        <v>0</v>
      </c>
      <c r="G17" s="16">
        <f>IF($A17&lt;=1995,0,IF($A17&lt;=1998,(($A17-1995)/3)^3/6,IF($A17&lt;=2001,2/3-((($A17-1995)/3)-2)^2-0.5*((($A17-1995)/3)-2)^3,IF($A17&lt;=2004,2/3-((($A17-1995)/3)-2)^2+0.5*((($A17-1995)/3)-2)^3,IF($A17&lt;=2007,(4-(($A17-1995)/3))^3/6,0)))))</f>
        <v>0.16666666666666699</v>
      </c>
      <c r="H17" s="16">
        <f>IF($A17&lt;=1998,0,IF($A17&lt;=2001,(($A17-1998)/3)^3/6,IF($A17&lt;=2004,2/3-((($A17-1998)/3)-2)^2-0.5*((($A17-1998)/3)-2)^3,IF($A17&lt;=2007,2/3-((($A17-1998)/3)-2)^2+0.5*((($A17-1998)/3)-2)^3,IF($A17&lt;=2010,(4-(($A17-1998)/3))^3/6,0)))))</f>
        <v>0.66666666666666696</v>
      </c>
      <c r="I17" s="16">
        <f>IF($A17&lt;=2001,0,IF($A17&lt;=2004,(($A17-2001)/3)^3/6,IF($A17&lt;=2007,2/3-((($A17-2001)/3)-2)^2-0.5*((($A17-2001)/3)-2)^3,IF($A17&lt;=2010,2/3-((($A17-2001)/3)-2)^2+0.5*((($A17-2001)/3)-2)^3,IF($A17&lt;=2013,(4-(($A17-2001)/3))^3/6,0)))))</f>
        <v>0.16666666666666699</v>
      </c>
      <c r="J17" s="16">
        <f>SUMPRODUCT(D17:I17,$B$24:$G$24)</f>
        <v>-7.3725315392090103</v>
      </c>
      <c r="K17" s="16">
        <f>C17-J17</f>
        <v>0.0029652112617384301</v>
      </c>
      <c r="L17" s="16">
        <f>K17^2</f>
        <v>8.7924778267404194e-06</v>
      </c>
    </row>
    <row r="18"/>
    <row r="19"/>
    <row r="20"/>
    <row r="21"/>
    <row r="22"/>
    <row r="23" ht="32" customHeight="1">
      <c r="A23" s="14" t="inlineStr">
        <is>
          <t>Coefficient knot year</t>
        </is>
      </c>
      <c r="B23" s="14" t="n">
        <v>1986</v>
      </c>
      <c r="C23" s="14" t="n">
        <v>1989</v>
      </c>
      <c r="D23" s="14" t="n">
        <v>1992</v>
      </c>
      <c r="E23" s="14" t="n">
        <v>1995</v>
      </c>
      <c r="F23" s="14" t="n">
        <v>1998</v>
      </c>
      <c r="G23" s="14" t="n">
        <v>2001</v>
      </c>
    </row>
    <row r="24">
      <c r="A24" s="15" t="inlineStr">
        <is>
          <t>theta (Solver values)</t>
        </is>
      </c>
      <c r="B24" s="17" t="n">
        <v>-7.061938840034842</v>
      </c>
      <c r="C24" s="17" t="n">
        <v>-7.044423085166911</v>
      </c>
      <c r="D24" s="17" t="n">
        <v>-7.038185497653124</v>
      </c>
      <c r="E24" s="17" t="n">
        <v>-7.148993917399493</v>
      </c>
      <c r="F24" s="17" t="n">
        <v>-7.37134276322229</v>
      </c>
      <c r="G24" s="17" t="n">
        <v>-7.600824264965381</v>
      </c>
    </row>
    <row r="25">
      <c r="A25" s="15" t="inlineStr">
        <is>
          <t>First difference</t>
        </is>
      </c>
      <c r="B25" s="16">
        <f>C24-B24</f>
        <v>0.017515754867931201</v>
      </c>
      <c r="C25" s="16">
        <f>D24-C24</f>
        <v>0.0062375875137865603</v>
      </c>
      <c r="D25" s="16">
        <f>E24-D24</f>
        <v>-0.110808419746369</v>
      </c>
      <c r="E25" s="16">
        <f>F24-E24</f>
        <v>-0.22234884582279699</v>
      </c>
      <c r="F25" s="16">
        <f>G24-F24</f>
        <v>-0.22948150174309101</v>
      </c>
    </row>
    <row r="26">
      <c r="A26" s="15" t="inlineStr">
        <is>
          <t>Second difference</t>
        </is>
      </c>
      <c r="B26" s="16">
        <f>C25-B25</f>
        <v>-0.0112781673541447</v>
      </c>
      <c r="C26" s="16">
        <f>D25-C25</f>
        <v>-0.117046007260155</v>
      </c>
      <c r="D26" s="16">
        <f>E25-D25</f>
        <v>-0.111540426076428</v>
      </c>
      <c r="E26" s="16">
        <f>F25-E25</f>
        <v>-0.0071326559202944404</v>
      </c>
    </row>
    <row r="27">
      <c r="A27" s="15" t="inlineStr">
        <is>
          <t>Squared second difference</t>
        </is>
      </c>
      <c r="B27" s="16">
        <f>B26^2</f>
        <v>0.000127197058868094</v>
      </c>
      <c r="C27" s="16">
        <f>C26^2</f>
        <v>0.0136997678155443</v>
      </c>
      <c r="D27" s="16">
        <f>D26^2</f>
        <v>0.012441266649311101</v>
      </c>
      <c r="E27" s="16">
        <f>E26^2</f>
        <v>5.08747804773113e-05</v>
      </c>
    </row>
    <row r="28"/>
    <row r="29"/>
    <row r="30"/>
    <row r="31">
      <c r="A31" s="15" t="inlineStr">
        <is>
          <t>Total SSE</t>
        </is>
      </c>
      <c r="B31" s="16">
        <f>SUM(L8:L17)</f>
        <v>0.078972716925895498</v>
      </c>
    </row>
    <row r="32">
      <c r="A32" s="15" t="inlineStr">
        <is>
          <t>Penalty (unweighted)</t>
        </is>
      </c>
      <c r="B32" s="16">
        <f>SUM(B27:E27)</f>
        <v>0.026319106304200899</v>
      </c>
    </row>
    <row r="33">
      <c r="A33" s="15" t="inlineStr">
        <is>
          <t>lambda</t>
        </is>
      </c>
      <c r="B33" s="15" t="n">
        <v>1</v>
      </c>
    </row>
    <row r="34">
      <c r="A34" s="15" t="inlineStr">
        <is>
          <t>Objective L</t>
        </is>
      </c>
      <c r="B34" s="16">
        <f>B31+B33/2*B32</f>
        <v>0.092132270077995904</v>
      </c>
    </row>
    <row r="35"/>
    <row r="36"/>
    <row r="37" ht="36" customHeight="1">
      <c r="A37" s="2" t="inlineStr">
        <is>
          <t>Solver: minimise $B$34 by changing $B$24:$G$24. Method: GRG Nonlinear; no constraints; disable nonnegative-variable option; enable automatic scaling. lambda=$B$33=1. Decision cells already contain the fitted coefficient values and can be rerun directly.</t>
        </is>
      </c>
    </row>
    <row r="38"/>
    <row r="39" ht="36" customHeight="1">
      <c r="A39" s="2" t="inlineStr">
        <is>
          <t>The numeric coefficient values were obtained by numerical minimisation of the displayed objective and checked against its normal equations. Microsoft Excel Solver was not executed in this environment; its reproducible settings are saved in this sheet.</t>
        </is>
      </c>
    </row>
    <row r="40"/>
    <row r="41" ht="36" customHeight="1">
      <c r="A41" s="2" t="inlineStr">
        <is>
          <t>Forecast worksheet: Q2(c)_M1_Forecast. Forward coefficient differences are computed exactly as in Week 11, using h=3 year(s); projected second differences are zero. No extra smoothing parameter search or positivity constraints are added.</t>
        </is>
      </c>
    </row>
  </sheetData>
  <mergeCells count="5">
    <mergeCell ref="A37:P37"/>
    <mergeCell ref="A39:P39"/>
    <mergeCell ref="A3:P3"/>
    <mergeCell ref="A41:P41"/>
    <mergeCell ref="A2:P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</cols>
  <sheetData>
    <row r="1">
      <c r="A1" s="13" t="inlineStr">
        <is>
          <t>Q2(c)_M1_Forecast — Week 11 forecasting layout</t>
        </is>
      </c>
    </row>
    <row r="2" ht="36" customHeight="1">
      <c r="A2" s="2" t="inlineStr">
        <is>
          <t>Coefficient forecasts: theta_new=2*theta_previous−theta_two_periods_back, so added second differences are zero. Fit/forecast LN(m) with SUMPRODUCT; apply EXP to return to mortality rates. No observed data after 2004 enter estimation.</t>
        </is>
      </c>
    </row>
    <row r="3"/>
    <row r="4"/>
    <row r="5">
      <c r="K5" s="16">
        <f>B7</f>
        <v>-7.0619388400348404</v>
      </c>
      <c r="L5" s="16">
        <f>B8</f>
        <v>-7.0444230851669101</v>
      </c>
      <c r="M5" s="16">
        <f>B9</f>
        <v>-7.03818549765312</v>
      </c>
      <c r="N5" s="16">
        <f>B10</f>
        <v>-7.1489939173994896</v>
      </c>
      <c r="O5" s="16">
        <f>B11</f>
        <v>-7.3713427632222901</v>
      </c>
      <c r="P5" s="16">
        <f>B12</f>
        <v>-7.6008242649653797</v>
      </c>
      <c r="Q5" s="16">
        <f>B13</f>
        <v>-7.8303057667084701</v>
      </c>
      <c r="R5" s="16">
        <f>B14</f>
        <v>-8.0597872684515703</v>
      </c>
      <c r="S5" s="16">
        <f>B15</f>
        <v>-8.2892687701946599</v>
      </c>
      <c r="T5" s="16">
        <f>B16</f>
        <v>-8.5187502719377495</v>
      </c>
      <c r="U5" s="16">
        <f>B17</f>
        <v>-8.7482317736808408</v>
      </c>
    </row>
    <row r="6" ht="32" customHeight="1">
      <c r="A6" s="14" t="inlineStr">
        <is>
          <t>Coefficient knot year</t>
        </is>
      </c>
      <c r="B6" s="14" t="inlineStr">
        <is>
          <t>theta</t>
        </is>
      </c>
      <c r="C6" s="14" t="inlineStr">
        <is>
          <t>First difference</t>
        </is>
      </c>
      <c r="D6" s="14" t="inlineStr">
        <is>
          <t>Second difference</t>
        </is>
      </c>
      <c r="F6" s="14" t="inlineStr">
        <is>
          <t>Year</t>
        </is>
      </c>
      <c r="G6" s="14" t="inlineStr">
        <is>
          <t>Observed mortality</t>
        </is>
      </c>
      <c r="H6" s="14" t="inlineStr">
        <is>
          <t>Fitted / forecast LN(m)</t>
        </is>
      </c>
      <c r="I6" s="14" t="inlineStr">
        <is>
          <t>Fitted / forecast m</t>
        </is>
      </c>
      <c r="J6" s="14" t="inlineStr">
        <is>
          <t>Period</t>
        </is>
      </c>
      <c r="K6" s="14" t="n">
        <v>1986</v>
      </c>
      <c r="L6" s="14" t="n">
        <v>1989</v>
      </c>
      <c r="M6" s="14" t="n">
        <v>1992</v>
      </c>
      <c r="N6" s="14" t="n">
        <v>1995</v>
      </c>
      <c r="O6" s="14" t="n">
        <v>1998</v>
      </c>
      <c r="P6" s="14" t="n">
        <v>2001</v>
      </c>
      <c r="Q6" s="14" t="n">
        <v>2004</v>
      </c>
      <c r="R6" s="14" t="n">
        <v>2007</v>
      </c>
      <c r="S6" s="14" t="n">
        <v>2010</v>
      </c>
      <c r="T6" s="14" t="n">
        <v>2013</v>
      </c>
      <c r="U6" s="14" t="n">
        <v>2016</v>
      </c>
    </row>
    <row r="7">
      <c r="A7" s="18" t="n">
        <v>1986</v>
      </c>
      <c r="B7" s="16">
        <f>'Q2(c)_M1'!B24</f>
        <v>-7.0619388400348404</v>
      </c>
      <c r="F7" s="18" t="n">
        <v>1995</v>
      </c>
      <c r="G7" s="16">
        <f>'M_70_t'!B2</f>
        <v>0.00085662921497227005</v>
      </c>
      <c r="H7" s="16">
        <f>SUMPRODUCT(K7:U7,$K$5:$U$5)</f>
        <v>-7.0463027797259299</v>
      </c>
      <c r="I7" s="16">
        <f>EXP(H7)</f>
        <v>0.00087062189509931598</v>
      </c>
      <c r="J7" s="15" t="inlineStr">
        <is>
          <t>Fitted</t>
        </is>
      </c>
      <c r="K7" s="16">
        <f>IF($F7&lt;=1986,0,IF($F7&lt;=1989,(($F7-1986)/3)^3/6,IF($F7&lt;=1992,2/3-((($F7-1986)/3)-2)^2-0.5*((($F7-1986)/3)-2)^3,IF($F7&lt;=1995,2/3-((($F7-1986)/3)-2)^2+0.5*((($F7-1986)/3)-2)^3,IF($F7&lt;=1998,(4-(($F7-1986)/3))^3/6,0)))))</f>
        <v>0.16666666666666699</v>
      </c>
      <c r="L7" s="16">
        <f>IF($F7&lt;=1989,0,IF($F7&lt;=1992,(($F7-1989)/3)^3/6,IF($F7&lt;=1995,2/3-((($F7-1989)/3)-2)^2-0.5*((($F7-1989)/3)-2)^3,IF($F7&lt;=1998,2/3-((($F7-1989)/3)-2)^2+0.5*((($F7-1989)/3)-2)^3,IF($F7&lt;=2001,(4-(($F7-1989)/3))^3/6,0)))))</f>
        <v>0.66666666666666696</v>
      </c>
      <c r="M7" s="16">
        <f>IF($F7&lt;=1992,0,IF($F7&lt;=1995,(($F7-1992)/3)^3/6,IF($F7&lt;=1998,2/3-((($F7-1992)/3)-2)^2-0.5*((($F7-1992)/3)-2)^3,IF($F7&lt;=2001,2/3-((($F7-1992)/3)-2)^2+0.5*((($F7-1992)/3)-2)^3,IF($F7&lt;=2004,(4-(($F7-1992)/3))^3/6,0)))))</f>
        <v>0.16666666666666699</v>
      </c>
      <c r="N7" s="16">
        <f>IF($F7&lt;=1995,0,IF($F7&lt;=1998,(($F7-1995)/3)^3/6,IF($F7&lt;=2001,2/3-((($F7-1995)/3)-2)^2-0.5*((($F7-1995)/3)-2)^3,IF($F7&lt;=2004,2/3-((($F7-1995)/3)-2)^2+0.5*((($F7-1995)/3)-2)^3,IF($F7&lt;=2007,(4-(($F7-1995)/3))^3/6,0)))))</f>
        <v>0</v>
      </c>
      <c r="O7" s="16">
        <f>IF($F7&lt;=1998,0,IF($F7&lt;=2001,(($F7-1998)/3)^3/6,IF($F7&lt;=2004,2/3-((($F7-1998)/3)-2)^2-0.5*((($F7-1998)/3)-2)^3,IF($F7&lt;=2007,2/3-((($F7-1998)/3)-2)^2+0.5*((($F7-1998)/3)-2)^3,IF($F7&lt;=2010,(4-(($F7-1998)/3))^3/6,0)))))</f>
        <v>0</v>
      </c>
      <c r="P7" s="16">
        <f>IF($F7&lt;=2001,0,IF($F7&lt;=2004,(($F7-2001)/3)^3/6,IF($F7&lt;=2007,2/3-((($F7-2001)/3)-2)^2-0.5*((($F7-2001)/3)-2)^3,IF($F7&lt;=2010,2/3-((($F7-2001)/3)-2)^2+0.5*((($F7-2001)/3)-2)^3,IF($F7&lt;=2013,(4-(($F7-2001)/3))^3/6,0)))))</f>
        <v>0</v>
      </c>
      <c r="Q7" s="16">
        <f>IF($F7&lt;=2004,0,IF($F7&lt;=2007,(($F7-2004)/3)^3/6,IF($F7&lt;=2010,2/3-((($F7-2004)/3)-2)^2-0.5*((($F7-2004)/3)-2)^3,IF($F7&lt;=2013,2/3-((($F7-2004)/3)-2)^2+0.5*((($F7-2004)/3)-2)^3,IF($F7&lt;=2016,(4-(($F7-2004)/3))^3/6,0)))))</f>
        <v>0</v>
      </c>
      <c r="R7" s="16">
        <f>IF($F7&lt;=2007,0,IF($F7&lt;=2010,(($F7-2007)/3)^3/6,IF($F7&lt;=2013,2/3-((($F7-2007)/3)-2)^2-0.5*((($F7-2007)/3)-2)^3,IF($F7&lt;=2016,2/3-((($F7-2007)/3)-2)^2+0.5*((($F7-2007)/3)-2)^3,IF($F7&lt;=2019,(4-(($F7-2007)/3))^3/6,0)))))</f>
        <v>0</v>
      </c>
      <c r="S7" s="16">
        <f>IF($F7&lt;=2010,0,IF($F7&lt;=2013,(($F7-2010)/3)^3/6,IF($F7&lt;=2016,2/3-((($F7-2010)/3)-2)^2-0.5*((($F7-2010)/3)-2)^3,IF($F7&lt;=2019,2/3-((($F7-2010)/3)-2)^2+0.5*((($F7-2010)/3)-2)^3,IF($F7&lt;=2022,(4-(($F7-2010)/3))^3/6,0)))))</f>
        <v>0</v>
      </c>
      <c r="T7" s="16">
        <f>IF($F7&lt;=2013,0,IF($F7&lt;=2016,(($F7-2013)/3)^3/6,IF($F7&lt;=2019,2/3-((($F7-2013)/3)-2)^2-0.5*((($F7-2013)/3)-2)^3,IF($F7&lt;=2022,2/3-((($F7-2013)/3)-2)^2+0.5*((($F7-2013)/3)-2)^3,IF($F7&lt;=2025,(4-(($F7-2013)/3))^3/6,0)))))</f>
        <v>0</v>
      </c>
      <c r="U7" s="16">
        <f>IF($F7&lt;=2016,0,IF($F7&lt;=2019,(($F7-2016)/3)^3/6,IF($F7&lt;=2022,2/3-((($F7-2016)/3)-2)^2-0.5*((($F7-2016)/3)-2)^3,IF($F7&lt;=2025,2/3-((($F7-2016)/3)-2)^2+0.5*((($F7-2016)/3)-2)^3,IF($F7&lt;=2028,(4-(($F7-2016)/3))^3/6,0)))))</f>
        <v>0</v>
      </c>
    </row>
    <row r="8">
      <c r="A8" s="18" t="n">
        <v>1989</v>
      </c>
      <c r="B8" s="16">
        <f>'Q2(c)_M1'!C24</f>
        <v>-7.0444230851669101</v>
      </c>
      <c r="C8" s="16">
        <f>B8-B7</f>
        <v>0.017515754867931201</v>
      </c>
      <c r="F8" s="18" t="n">
        <v>1996</v>
      </c>
      <c r="G8" s="16">
        <f>'M_70_t'!B3</f>
        <v>0.00082999932605467902</v>
      </c>
      <c r="H8" s="16">
        <f>SUMPRODUCT(K8:U8,$K$5:$U$5)</f>
        <v>-7.0436233420826397</v>
      </c>
      <c r="I8" s="16">
        <f>EXP(H8)</f>
        <v>0.00087295780023666605</v>
      </c>
      <c r="J8" s="15" t="inlineStr">
        <is>
          <t>Fitted</t>
        </is>
      </c>
      <c r="K8" s="16">
        <f>IF($F8&lt;=1986,0,IF($F8&lt;=1989,(($F8-1986)/3)^3/6,IF($F8&lt;=1992,2/3-((($F8-1986)/3)-2)^2-0.5*((($F8-1986)/3)-2)^3,IF($F8&lt;=1995,2/3-((($F8-1986)/3)-2)^2+0.5*((($F8-1986)/3)-2)^3,IF($F8&lt;=1998,(4-(($F8-1986)/3))^3/6,0)))))</f>
        <v>0.049382716049382699</v>
      </c>
      <c r="L8" s="16">
        <f>IF($F8&lt;=1989,0,IF($F8&lt;=1992,(($F8-1989)/3)^3/6,IF($F8&lt;=1995,2/3-((($F8-1989)/3)-2)^2-0.5*((($F8-1989)/3)-2)^3,IF($F8&lt;=1998,2/3-((($F8-1989)/3)-2)^2+0.5*((($F8-1989)/3)-2)^3,IF($F8&lt;=2001,(4-(($F8-1989)/3))^3/6,0)))))</f>
        <v>0.57407407407407396</v>
      </c>
      <c r="M8" s="16">
        <f>IF($F8&lt;=1992,0,IF($F8&lt;=1995,(($F8-1992)/3)^3/6,IF($F8&lt;=1998,2/3-((($F8-1992)/3)-2)^2-0.5*((($F8-1992)/3)-2)^3,IF($F8&lt;=2001,2/3-((($F8-1992)/3)-2)^2+0.5*((($F8-1992)/3)-2)^3,IF($F8&lt;=2004,(4-(($F8-1992)/3))^3/6,0)))))</f>
        <v>0.37037037037037002</v>
      </c>
      <c r="N8" s="16">
        <f>IF($F8&lt;=1995,0,IF($F8&lt;=1998,(($F8-1995)/3)^3/6,IF($F8&lt;=2001,2/3-((($F8-1995)/3)-2)^2-0.5*((($F8-1995)/3)-2)^3,IF($F8&lt;=2004,2/3-((($F8-1995)/3)-2)^2+0.5*((($F8-1995)/3)-2)^3,IF($F8&lt;=2007,(4-(($F8-1995)/3))^3/6,0)))))</f>
        <v>0.00617283950617284</v>
      </c>
      <c r="O8" s="16">
        <f>IF($F8&lt;=1998,0,IF($F8&lt;=2001,(($F8-1998)/3)^3/6,IF($F8&lt;=2004,2/3-((($F8-1998)/3)-2)^2-0.5*((($F8-1998)/3)-2)^3,IF($F8&lt;=2007,2/3-((($F8-1998)/3)-2)^2+0.5*((($F8-1998)/3)-2)^3,IF($F8&lt;=2010,(4-(($F8-1998)/3))^3/6,0)))))</f>
        <v>0</v>
      </c>
      <c r="P8" s="16">
        <f>IF($F8&lt;=2001,0,IF($F8&lt;=2004,(($F8-2001)/3)^3/6,IF($F8&lt;=2007,2/3-((($F8-2001)/3)-2)^2-0.5*((($F8-2001)/3)-2)^3,IF($F8&lt;=2010,2/3-((($F8-2001)/3)-2)^2+0.5*((($F8-2001)/3)-2)^3,IF($F8&lt;=2013,(4-(($F8-2001)/3))^3/6,0)))))</f>
        <v>0</v>
      </c>
      <c r="Q8" s="16">
        <f>IF($F8&lt;=2004,0,IF($F8&lt;=2007,(($F8-2004)/3)^3/6,IF($F8&lt;=2010,2/3-((($F8-2004)/3)-2)^2-0.5*((($F8-2004)/3)-2)^3,IF($F8&lt;=2013,2/3-((($F8-2004)/3)-2)^2+0.5*((($F8-2004)/3)-2)^3,IF($F8&lt;=2016,(4-(($F8-2004)/3))^3/6,0)))))</f>
        <v>0</v>
      </c>
      <c r="R8" s="16">
        <f>IF($F8&lt;=2007,0,IF($F8&lt;=2010,(($F8-2007)/3)^3/6,IF($F8&lt;=2013,2/3-((($F8-2007)/3)-2)^2-0.5*((($F8-2007)/3)-2)^3,IF($F8&lt;=2016,2/3-((($F8-2007)/3)-2)^2+0.5*((($F8-2007)/3)-2)^3,IF($F8&lt;=2019,(4-(($F8-2007)/3))^3/6,0)))))</f>
        <v>0</v>
      </c>
      <c r="S8" s="16">
        <f>IF($F8&lt;=2010,0,IF($F8&lt;=2013,(($F8-2010)/3)^3/6,IF($F8&lt;=2016,2/3-((($F8-2010)/3)-2)^2-0.5*((($F8-2010)/3)-2)^3,IF($F8&lt;=2019,2/3-((($F8-2010)/3)-2)^2+0.5*((($F8-2010)/3)-2)^3,IF($F8&lt;=2022,(4-(($F8-2010)/3))^3/6,0)))))</f>
        <v>0</v>
      </c>
      <c r="T8" s="16">
        <f>IF($F8&lt;=2013,0,IF($F8&lt;=2016,(($F8-2013)/3)^3/6,IF($F8&lt;=2019,2/3-((($F8-2013)/3)-2)^2-0.5*((($F8-2013)/3)-2)^3,IF($F8&lt;=2022,2/3-((($F8-2013)/3)-2)^2+0.5*((($F8-2013)/3)-2)^3,IF($F8&lt;=2025,(4-(($F8-2013)/3))^3/6,0)))))</f>
        <v>0</v>
      </c>
      <c r="U8" s="16">
        <f>IF($F8&lt;=2016,0,IF($F8&lt;=2019,(($F8-2016)/3)^3/6,IF($F8&lt;=2022,2/3-((($F8-2016)/3)-2)^2-0.5*((($F8-2016)/3)-2)^3,IF($F8&lt;=2025,2/3-((($F8-2016)/3)-2)^2+0.5*((($F8-2016)/3)-2)^3,IF($F8&lt;=2028,(4-(($F8-2016)/3))^3/6,0)))))</f>
        <v>0</v>
      </c>
    </row>
    <row r="9">
      <c r="A9" s="18" t="n">
        <v>1992</v>
      </c>
      <c r="B9" s="16">
        <f>'Q2(c)_M1'!D24</f>
        <v>-7.03818549765312</v>
      </c>
      <c r="C9" s="16">
        <f>B9-B8</f>
        <v>0.0062375875137865603</v>
      </c>
      <c r="D9" s="16">
        <f>C9-C8</f>
        <v>-0.0112781673541447</v>
      </c>
      <c r="F9" s="18" t="n">
        <v>1997</v>
      </c>
      <c r="G9" s="16">
        <f>'M_70_t'!B4</f>
        <v>0.00080999953267954299</v>
      </c>
      <c r="H9" s="16">
        <f>SUMPRODUCT(K9:U9,$K$5:$U$5)</f>
        <v>-7.0461143615493</v>
      </c>
      <c r="I9" s="16">
        <f>EXP(H9)</f>
        <v>0.000870785951544455</v>
      </c>
      <c r="J9" s="15" t="inlineStr">
        <is>
          <t>Fitted</t>
        </is>
      </c>
      <c r="K9" s="16">
        <f>IF($F9&lt;=1986,0,IF($F9&lt;=1989,(($F9-1986)/3)^3/6,IF($F9&lt;=1992,2/3-((($F9-1986)/3)-2)^2-0.5*((($F9-1986)/3)-2)^3,IF($F9&lt;=1995,2/3-((($F9-1986)/3)-2)^2+0.5*((($F9-1986)/3)-2)^3,IF($F9&lt;=1998,(4-(($F9-1986)/3))^3/6,0)))))</f>
        <v>0.00617283950617284</v>
      </c>
      <c r="L9" s="16">
        <f>IF($F9&lt;=1989,0,IF($F9&lt;=1992,(($F9-1989)/3)^3/6,IF($F9&lt;=1995,2/3-((($F9-1989)/3)-2)^2-0.5*((($F9-1989)/3)-2)^3,IF($F9&lt;=1998,2/3-((($F9-1989)/3)-2)^2+0.5*((($F9-1989)/3)-2)^3,IF($F9&lt;=2001,(4-(($F9-1989)/3))^3/6,0)))))</f>
        <v>0.37037037037037002</v>
      </c>
      <c r="M9" s="16">
        <f>IF($F9&lt;=1992,0,IF($F9&lt;=1995,(($F9-1992)/3)^3/6,IF($F9&lt;=1998,2/3-((($F9-1992)/3)-2)^2-0.5*((($F9-1992)/3)-2)^3,IF($F9&lt;=2001,2/3-((($F9-1992)/3)-2)^2+0.5*((($F9-1992)/3)-2)^3,IF($F9&lt;=2004,(4-(($F9-1992)/3))^3/6,0)))))</f>
        <v>0.57407407407407396</v>
      </c>
      <c r="N9" s="16">
        <f>IF($F9&lt;=1995,0,IF($F9&lt;=1998,(($F9-1995)/3)^3/6,IF($F9&lt;=2001,2/3-((($F9-1995)/3)-2)^2-0.5*((($F9-1995)/3)-2)^3,IF($F9&lt;=2004,2/3-((($F9-1995)/3)-2)^2+0.5*((($F9-1995)/3)-2)^3,IF($F9&lt;=2007,(4-(($F9-1995)/3))^3/6,0)))))</f>
        <v>0.049382716049382699</v>
      </c>
      <c r="O9" s="16">
        <f>IF($F9&lt;=1998,0,IF($F9&lt;=2001,(($F9-1998)/3)^3/6,IF($F9&lt;=2004,2/3-((($F9-1998)/3)-2)^2-0.5*((($F9-1998)/3)-2)^3,IF($F9&lt;=2007,2/3-((($F9-1998)/3)-2)^2+0.5*((($F9-1998)/3)-2)^3,IF($F9&lt;=2010,(4-(($F9-1998)/3))^3/6,0)))))</f>
        <v>0</v>
      </c>
      <c r="P9" s="16">
        <f>IF($F9&lt;=2001,0,IF($F9&lt;=2004,(($F9-2001)/3)^3/6,IF($F9&lt;=2007,2/3-((($F9-2001)/3)-2)^2-0.5*((($F9-2001)/3)-2)^3,IF($F9&lt;=2010,2/3-((($F9-2001)/3)-2)^2+0.5*((($F9-2001)/3)-2)^3,IF($F9&lt;=2013,(4-(($F9-2001)/3))^3/6,0)))))</f>
        <v>0</v>
      </c>
      <c r="Q9" s="16">
        <f>IF($F9&lt;=2004,0,IF($F9&lt;=2007,(($F9-2004)/3)^3/6,IF($F9&lt;=2010,2/3-((($F9-2004)/3)-2)^2-0.5*((($F9-2004)/3)-2)^3,IF($F9&lt;=2013,2/3-((($F9-2004)/3)-2)^2+0.5*((($F9-2004)/3)-2)^3,IF($F9&lt;=2016,(4-(($F9-2004)/3))^3/6,0)))))</f>
        <v>0</v>
      </c>
      <c r="R9" s="16">
        <f>IF($F9&lt;=2007,0,IF($F9&lt;=2010,(($F9-2007)/3)^3/6,IF($F9&lt;=2013,2/3-((($F9-2007)/3)-2)^2-0.5*((($F9-2007)/3)-2)^3,IF($F9&lt;=2016,2/3-((($F9-2007)/3)-2)^2+0.5*((($F9-2007)/3)-2)^3,IF($F9&lt;=2019,(4-(($F9-2007)/3))^3/6,0)))))</f>
        <v>0</v>
      </c>
      <c r="S9" s="16">
        <f>IF($F9&lt;=2010,0,IF($F9&lt;=2013,(($F9-2010)/3)^3/6,IF($F9&lt;=2016,2/3-((($F9-2010)/3)-2)^2-0.5*((($F9-2010)/3)-2)^3,IF($F9&lt;=2019,2/3-((($F9-2010)/3)-2)^2+0.5*((($F9-2010)/3)-2)^3,IF($F9&lt;=2022,(4-(($F9-2010)/3))^3/6,0)))))</f>
        <v>0</v>
      </c>
      <c r="T9" s="16">
        <f>IF($F9&lt;=2013,0,IF($F9&lt;=2016,(($F9-2013)/3)^3/6,IF($F9&lt;=2019,2/3-((($F9-2013)/3)-2)^2-0.5*((($F9-2013)/3)-2)^3,IF($F9&lt;=2022,2/3-((($F9-2013)/3)-2)^2+0.5*((($F9-2013)/3)-2)^3,IF($F9&lt;=2025,(4-(($F9-2013)/3))^3/6,0)))))</f>
        <v>0</v>
      </c>
      <c r="U9" s="16">
        <f>IF($F9&lt;=2016,0,IF($F9&lt;=2019,(($F9-2016)/3)^3/6,IF($F9&lt;=2022,2/3-((($F9-2016)/3)-2)^2-0.5*((($F9-2016)/3)-2)^3,IF($F9&lt;=2025,2/3-((($F9-2016)/3)-2)^2+0.5*((($F9-2016)/3)-2)^3,IF($F9&lt;=2028,(4-(($F9-2016)/3))^3/6,0)))))</f>
        <v>0</v>
      </c>
    </row>
    <row r="10">
      <c r="A10" s="18" t="n">
        <v>1995</v>
      </c>
      <c r="B10" s="16">
        <f>'Q2(c)_M1'!E24</f>
        <v>-7.1489939173994896</v>
      </c>
      <c r="C10" s="16">
        <f>B10-B9</f>
        <v>-0.110808419746369</v>
      </c>
      <c r="D10" s="16">
        <f>C10-C9</f>
        <v>-0.117046007260155</v>
      </c>
      <c r="F10" s="18" t="n">
        <v>1998</v>
      </c>
      <c r="G10" s="16">
        <f>'M_70_t'!B5</f>
        <v>0.00097750974418243496</v>
      </c>
      <c r="H10" s="16">
        <f>SUMPRODUCT(K10:U10,$K$5:$U$5)</f>
        <v>-7.0576931655298196</v>
      </c>
      <c r="I10" s="16">
        <f>EXP(H10)</f>
        <v>0.00086076143962928895</v>
      </c>
      <c r="J10" s="15" t="inlineStr">
        <is>
          <t>Fitted</t>
        </is>
      </c>
      <c r="K10" s="16">
        <f>IF($F10&lt;=1986,0,IF($F10&lt;=1989,(($F10-1986)/3)^3/6,IF($F10&lt;=1992,2/3-((($F10-1986)/3)-2)^2-0.5*((($F10-1986)/3)-2)^3,IF($F10&lt;=1995,2/3-((($F10-1986)/3)-2)^2+0.5*((($F10-1986)/3)-2)^3,IF($F10&lt;=1998,(4-(($F10-1986)/3))^3/6,0)))))</f>
        <v>0</v>
      </c>
      <c r="L10" s="16">
        <f>IF($F10&lt;=1989,0,IF($F10&lt;=1992,(($F10-1989)/3)^3/6,IF($F10&lt;=1995,2/3-((($F10-1989)/3)-2)^2-0.5*((($F10-1989)/3)-2)^3,IF($F10&lt;=1998,2/3-((($F10-1989)/3)-2)^2+0.5*((($F10-1989)/3)-2)^3,IF($F10&lt;=2001,(4-(($F10-1989)/3))^3/6,0)))))</f>
        <v>0.16666666666666699</v>
      </c>
      <c r="M10" s="16">
        <f>IF($F10&lt;=1992,0,IF($F10&lt;=1995,(($F10-1992)/3)^3/6,IF($F10&lt;=1998,2/3-((($F10-1992)/3)-2)^2-0.5*((($F10-1992)/3)-2)^3,IF($F10&lt;=2001,2/3-((($F10-1992)/3)-2)^2+0.5*((($F10-1992)/3)-2)^3,IF($F10&lt;=2004,(4-(($F10-1992)/3))^3/6,0)))))</f>
        <v>0.66666666666666696</v>
      </c>
      <c r="N10" s="16">
        <f>IF($F10&lt;=1995,0,IF($F10&lt;=1998,(($F10-1995)/3)^3/6,IF($F10&lt;=2001,2/3-((($F10-1995)/3)-2)^2-0.5*((($F10-1995)/3)-2)^3,IF($F10&lt;=2004,2/3-((($F10-1995)/3)-2)^2+0.5*((($F10-1995)/3)-2)^3,IF($F10&lt;=2007,(4-(($F10-1995)/3))^3/6,0)))))</f>
        <v>0.16666666666666699</v>
      </c>
      <c r="O10" s="16">
        <f>IF($F10&lt;=1998,0,IF($F10&lt;=2001,(($F10-1998)/3)^3/6,IF($F10&lt;=2004,2/3-((($F10-1998)/3)-2)^2-0.5*((($F10-1998)/3)-2)^3,IF($F10&lt;=2007,2/3-((($F10-1998)/3)-2)^2+0.5*((($F10-1998)/3)-2)^3,IF($F10&lt;=2010,(4-(($F10-1998)/3))^3/6,0)))))</f>
        <v>0</v>
      </c>
      <c r="P10" s="16">
        <f>IF($F10&lt;=2001,0,IF($F10&lt;=2004,(($F10-2001)/3)^3/6,IF($F10&lt;=2007,2/3-((($F10-2001)/3)-2)^2-0.5*((($F10-2001)/3)-2)^3,IF($F10&lt;=2010,2/3-((($F10-2001)/3)-2)^2+0.5*((($F10-2001)/3)-2)^3,IF($F10&lt;=2013,(4-(($F10-2001)/3))^3/6,0)))))</f>
        <v>0</v>
      </c>
      <c r="Q10" s="16">
        <f>IF($F10&lt;=2004,0,IF($F10&lt;=2007,(($F10-2004)/3)^3/6,IF($F10&lt;=2010,2/3-((($F10-2004)/3)-2)^2-0.5*((($F10-2004)/3)-2)^3,IF($F10&lt;=2013,2/3-((($F10-2004)/3)-2)^2+0.5*((($F10-2004)/3)-2)^3,IF($F10&lt;=2016,(4-(($F10-2004)/3))^3/6,0)))))</f>
        <v>0</v>
      </c>
      <c r="R10" s="16">
        <f>IF($F10&lt;=2007,0,IF($F10&lt;=2010,(($F10-2007)/3)^3/6,IF($F10&lt;=2013,2/3-((($F10-2007)/3)-2)^2-0.5*((($F10-2007)/3)-2)^3,IF($F10&lt;=2016,2/3-((($F10-2007)/3)-2)^2+0.5*((($F10-2007)/3)-2)^3,IF($F10&lt;=2019,(4-(($F10-2007)/3))^3/6,0)))))</f>
        <v>0</v>
      </c>
      <c r="S10" s="16">
        <f>IF($F10&lt;=2010,0,IF($F10&lt;=2013,(($F10-2010)/3)^3/6,IF($F10&lt;=2016,2/3-((($F10-2010)/3)-2)^2-0.5*((($F10-2010)/3)-2)^3,IF($F10&lt;=2019,2/3-((($F10-2010)/3)-2)^2+0.5*((($F10-2010)/3)-2)^3,IF($F10&lt;=2022,(4-(($F10-2010)/3))^3/6,0)))))</f>
        <v>0</v>
      </c>
      <c r="T10" s="16">
        <f>IF($F10&lt;=2013,0,IF($F10&lt;=2016,(($F10-2013)/3)^3/6,IF($F10&lt;=2019,2/3-((($F10-2013)/3)-2)^2-0.5*((($F10-2013)/3)-2)^3,IF($F10&lt;=2022,2/3-((($F10-2013)/3)-2)^2+0.5*((($F10-2013)/3)-2)^3,IF($F10&lt;=2025,(4-(($F10-2013)/3))^3/6,0)))))</f>
        <v>0</v>
      </c>
      <c r="U10" s="16">
        <f>IF($F10&lt;=2016,0,IF($F10&lt;=2019,(($F10-2016)/3)^3/6,IF($F10&lt;=2022,2/3-((($F10-2016)/3)-2)^2-0.5*((($F10-2016)/3)-2)^3,IF($F10&lt;=2025,2/3-((($F10-2016)/3)-2)^2+0.5*((($F10-2016)/3)-2)^3,IF($F10&lt;=2028,(4-(($F10-2016)/3))^3/6,0)))))</f>
        <v>0</v>
      </c>
    </row>
    <row r="11">
      <c r="A11" s="18" t="n">
        <v>1998</v>
      </c>
      <c r="B11" s="16">
        <f>'Q2(c)_M1'!F24</f>
        <v>-7.3713427632222901</v>
      </c>
      <c r="C11" s="16">
        <f>B11-B10</f>
        <v>-0.22234884582279699</v>
      </c>
      <c r="D11" s="16">
        <f>C11-C10</f>
        <v>-0.111540426076428</v>
      </c>
      <c r="F11" s="18" t="n">
        <v>1999</v>
      </c>
      <c r="G11" s="16">
        <f>'M_70_t'!B6</f>
        <v>0.00078849179100953001</v>
      </c>
      <c r="H11" s="16">
        <f>SUMPRODUCT(K11:U11,$K$5:$U$5)</f>
        <v>-7.0815902084584401</v>
      </c>
      <c r="I11" s="16">
        <f>EXP(H11)</f>
        <v>0.00084043561735633896</v>
      </c>
      <c r="J11" s="15" t="inlineStr">
        <is>
          <t>Fitted</t>
        </is>
      </c>
      <c r="K11" s="16">
        <f>IF($F11&lt;=1986,0,IF($F11&lt;=1989,(($F11-1986)/3)^3/6,IF($F11&lt;=1992,2/3-((($F11-1986)/3)-2)^2-0.5*((($F11-1986)/3)-2)^3,IF($F11&lt;=1995,2/3-((($F11-1986)/3)-2)^2+0.5*((($F11-1986)/3)-2)^3,IF($F11&lt;=1998,(4-(($F11-1986)/3))^3/6,0)))))</f>
        <v>0</v>
      </c>
      <c r="L11" s="16">
        <f>IF($F11&lt;=1989,0,IF($F11&lt;=1992,(($F11-1989)/3)^3/6,IF($F11&lt;=1995,2/3-((($F11-1989)/3)-2)^2-0.5*((($F11-1989)/3)-2)^3,IF($F11&lt;=1998,2/3-((($F11-1989)/3)-2)^2+0.5*((($F11-1989)/3)-2)^3,IF($F11&lt;=2001,(4-(($F11-1989)/3))^3/6,0)))))</f>
        <v>0.049382716049382699</v>
      </c>
      <c r="M11" s="16">
        <f>IF($F11&lt;=1992,0,IF($F11&lt;=1995,(($F11-1992)/3)^3/6,IF($F11&lt;=1998,2/3-((($F11-1992)/3)-2)^2-0.5*((($F11-1992)/3)-2)^3,IF($F11&lt;=2001,2/3-((($F11-1992)/3)-2)^2+0.5*((($F11-1992)/3)-2)^3,IF($F11&lt;=2004,(4-(($F11-1992)/3))^3/6,0)))))</f>
        <v>0.57407407407407396</v>
      </c>
      <c r="N11" s="16">
        <f>IF($F11&lt;=1995,0,IF($F11&lt;=1998,(($F11-1995)/3)^3/6,IF($F11&lt;=2001,2/3-((($F11-1995)/3)-2)^2-0.5*((($F11-1995)/3)-2)^3,IF($F11&lt;=2004,2/3-((($F11-1995)/3)-2)^2+0.5*((($F11-1995)/3)-2)^3,IF($F11&lt;=2007,(4-(($F11-1995)/3))^3/6,0)))))</f>
        <v>0.37037037037037002</v>
      </c>
      <c r="O11" s="16">
        <f>IF($F11&lt;=1998,0,IF($F11&lt;=2001,(($F11-1998)/3)^3/6,IF($F11&lt;=2004,2/3-((($F11-1998)/3)-2)^2-0.5*((($F11-1998)/3)-2)^3,IF($F11&lt;=2007,2/3-((($F11-1998)/3)-2)^2+0.5*((($F11-1998)/3)-2)^3,IF($F11&lt;=2010,(4-(($F11-1998)/3))^3/6,0)))))</f>
        <v>0.00617283950617284</v>
      </c>
      <c r="P11" s="16">
        <f>IF($F11&lt;=2001,0,IF($F11&lt;=2004,(($F11-2001)/3)^3/6,IF($F11&lt;=2007,2/3-((($F11-2001)/3)-2)^2-0.5*((($F11-2001)/3)-2)^3,IF($F11&lt;=2010,2/3-((($F11-2001)/3)-2)^2+0.5*((($F11-2001)/3)-2)^3,IF($F11&lt;=2013,(4-(($F11-2001)/3))^3/6,0)))))</f>
        <v>0</v>
      </c>
      <c r="Q11" s="16">
        <f>IF($F11&lt;=2004,0,IF($F11&lt;=2007,(($F11-2004)/3)^3/6,IF($F11&lt;=2010,2/3-((($F11-2004)/3)-2)^2-0.5*((($F11-2004)/3)-2)^3,IF($F11&lt;=2013,2/3-((($F11-2004)/3)-2)^2+0.5*((($F11-2004)/3)-2)^3,IF($F11&lt;=2016,(4-(($F11-2004)/3))^3/6,0)))))</f>
        <v>0</v>
      </c>
      <c r="R11" s="16">
        <f>IF($F11&lt;=2007,0,IF($F11&lt;=2010,(($F11-2007)/3)^3/6,IF($F11&lt;=2013,2/3-((($F11-2007)/3)-2)^2-0.5*((($F11-2007)/3)-2)^3,IF($F11&lt;=2016,2/3-((($F11-2007)/3)-2)^2+0.5*((($F11-2007)/3)-2)^3,IF($F11&lt;=2019,(4-(($F11-2007)/3))^3/6,0)))))</f>
        <v>0</v>
      </c>
      <c r="S11" s="16">
        <f>IF($F11&lt;=2010,0,IF($F11&lt;=2013,(($F11-2010)/3)^3/6,IF($F11&lt;=2016,2/3-((($F11-2010)/3)-2)^2-0.5*((($F11-2010)/3)-2)^3,IF($F11&lt;=2019,2/3-((($F11-2010)/3)-2)^2+0.5*((($F11-2010)/3)-2)^3,IF($F11&lt;=2022,(4-(($F11-2010)/3))^3/6,0)))))</f>
        <v>0</v>
      </c>
      <c r="T11" s="16">
        <f>IF($F11&lt;=2013,0,IF($F11&lt;=2016,(($F11-2013)/3)^3/6,IF($F11&lt;=2019,2/3-((($F11-2013)/3)-2)^2-0.5*((($F11-2013)/3)-2)^3,IF($F11&lt;=2022,2/3-((($F11-2013)/3)-2)^2+0.5*((($F11-2013)/3)-2)^3,IF($F11&lt;=2025,(4-(($F11-2013)/3))^3/6,0)))))</f>
        <v>0</v>
      </c>
      <c r="U11" s="16">
        <f>IF($F11&lt;=2016,0,IF($F11&lt;=2019,(($F11-2016)/3)^3/6,IF($F11&lt;=2022,2/3-((($F11-2016)/3)-2)^2-0.5*((($F11-2016)/3)-2)^3,IF($F11&lt;=2025,2/3-((($F11-2016)/3)-2)^2+0.5*((($F11-2016)/3)-2)^3,IF($F11&lt;=2028,(4-(($F11-2016)/3))^3/6,0)))))</f>
        <v>0</v>
      </c>
    </row>
    <row r="12">
      <c r="A12" s="18" t="n">
        <v>2001</v>
      </c>
      <c r="B12" s="16">
        <f>'Q2(c)_M1'!G24</f>
        <v>-7.6008242649653797</v>
      </c>
      <c r="C12" s="16">
        <f>B12-B11</f>
        <v>-0.22948150174309101</v>
      </c>
      <c r="D12" s="16">
        <f>C12-C11</f>
        <v>-0.0071326559202944404</v>
      </c>
      <c r="F12" s="18" t="n">
        <v>2000</v>
      </c>
      <c r="G12" s="16">
        <f>'M_70_t'!B7</f>
        <v>0.00099667191302858196</v>
      </c>
      <c r="H12" s="16">
        <f>SUMPRODUCT(K12:U12,$K$5:$U$5)</f>
        <v>-7.11828845289065</v>
      </c>
      <c r="I12" s="16">
        <f>EXP(H12)</f>
        <v>0.00081015217879329198</v>
      </c>
      <c r="J12" s="15" t="inlineStr">
        <is>
          <t>Fitted</t>
        </is>
      </c>
      <c r="K12" s="16">
        <f>IF($F12&lt;=1986,0,IF($F12&lt;=1989,(($F12-1986)/3)^3/6,IF($F12&lt;=1992,2/3-((($F12-1986)/3)-2)^2-0.5*((($F12-1986)/3)-2)^3,IF($F12&lt;=1995,2/3-((($F12-1986)/3)-2)^2+0.5*((($F12-1986)/3)-2)^3,IF($F12&lt;=1998,(4-(($F12-1986)/3))^3/6,0)))))</f>
        <v>0</v>
      </c>
      <c r="L12" s="16">
        <f>IF($F12&lt;=1989,0,IF($F12&lt;=1992,(($F12-1989)/3)^3/6,IF($F12&lt;=1995,2/3-((($F12-1989)/3)-2)^2-0.5*((($F12-1989)/3)-2)^3,IF($F12&lt;=1998,2/3-((($F12-1989)/3)-2)^2+0.5*((($F12-1989)/3)-2)^3,IF($F12&lt;=2001,(4-(($F12-1989)/3))^3/6,0)))))</f>
        <v>0.00617283950617284</v>
      </c>
      <c r="M12" s="16">
        <f>IF($F12&lt;=1992,0,IF($F12&lt;=1995,(($F12-1992)/3)^3/6,IF($F12&lt;=1998,2/3-((($F12-1992)/3)-2)^2-0.5*((($F12-1992)/3)-2)^3,IF($F12&lt;=2001,2/3-((($F12-1992)/3)-2)^2+0.5*((($F12-1992)/3)-2)^3,IF($F12&lt;=2004,(4-(($F12-1992)/3))^3/6,0)))))</f>
        <v>0.37037037037037002</v>
      </c>
      <c r="N12" s="16">
        <f>IF($F12&lt;=1995,0,IF($F12&lt;=1998,(($F12-1995)/3)^3/6,IF($F12&lt;=2001,2/3-((($F12-1995)/3)-2)^2-0.5*((($F12-1995)/3)-2)^3,IF($F12&lt;=2004,2/3-((($F12-1995)/3)-2)^2+0.5*((($F12-1995)/3)-2)^3,IF($F12&lt;=2007,(4-(($F12-1995)/3))^3/6,0)))))</f>
        <v>0.57407407407407396</v>
      </c>
      <c r="O12" s="16">
        <f>IF($F12&lt;=1998,0,IF($F12&lt;=2001,(($F12-1998)/3)^3/6,IF($F12&lt;=2004,2/3-((($F12-1998)/3)-2)^2-0.5*((($F12-1998)/3)-2)^3,IF($F12&lt;=2007,2/3-((($F12-1998)/3)-2)^2+0.5*((($F12-1998)/3)-2)^3,IF($F12&lt;=2010,(4-(($F12-1998)/3))^3/6,0)))))</f>
        <v>0.049382716049382699</v>
      </c>
      <c r="P12" s="16">
        <f>IF($F12&lt;=2001,0,IF($F12&lt;=2004,(($F12-2001)/3)^3/6,IF($F12&lt;=2007,2/3-((($F12-2001)/3)-2)^2-0.5*((($F12-2001)/3)-2)^3,IF($F12&lt;=2010,2/3-((($F12-2001)/3)-2)^2+0.5*((($F12-2001)/3)-2)^3,IF($F12&lt;=2013,(4-(($F12-2001)/3))^3/6,0)))))</f>
        <v>0</v>
      </c>
      <c r="Q12" s="16">
        <f>IF($F12&lt;=2004,0,IF($F12&lt;=2007,(($F12-2004)/3)^3/6,IF($F12&lt;=2010,2/3-((($F12-2004)/3)-2)^2-0.5*((($F12-2004)/3)-2)^3,IF($F12&lt;=2013,2/3-((($F12-2004)/3)-2)^2+0.5*((($F12-2004)/3)-2)^3,IF($F12&lt;=2016,(4-(($F12-2004)/3))^3/6,0)))))</f>
        <v>0</v>
      </c>
      <c r="R12" s="16">
        <f>IF($F12&lt;=2007,0,IF($F12&lt;=2010,(($F12-2007)/3)^3/6,IF($F12&lt;=2013,2/3-((($F12-2007)/3)-2)^2-0.5*((($F12-2007)/3)-2)^3,IF($F12&lt;=2016,2/3-((($F12-2007)/3)-2)^2+0.5*((($F12-2007)/3)-2)^3,IF($F12&lt;=2019,(4-(($F12-2007)/3))^3/6,0)))))</f>
        <v>0</v>
      </c>
      <c r="S12" s="16">
        <f>IF($F12&lt;=2010,0,IF($F12&lt;=2013,(($F12-2010)/3)^3/6,IF($F12&lt;=2016,2/3-((($F12-2010)/3)-2)^2-0.5*((($F12-2010)/3)-2)^3,IF($F12&lt;=2019,2/3-((($F12-2010)/3)-2)^2+0.5*((($F12-2010)/3)-2)^3,IF($F12&lt;=2022,(4-(($F12-2010)/3))^3/6,0)))))</f>
        <v>0</v>
      </c>
      <c r="T12" s="16">
        <f>IF($F12&lt;=2013,0,IF($F12&lt;=2016,(($F12-2013)/3)^3/6,IF($F12&lt;=2019,2/3-((($F12-2013)/3)-2)^2-0.5*((($F12-2013)/3)-2)^3,IF($F12&lt;=2022,2/3-((($F12-2013)/3)-2)^2+0.5*((($F12-2013)/3)-2)^3,IF($F12&lt;=2025,(4-(($F12-2013)/3))^3/6,0)))))</f>
        <v>0</v>
      </c>
      <c r="U12" s="16">
        <f>IF($F12&lt;=2016,0,IF($F12&lt;=2019,(($F12-2016)/3)^3/6,IF($F12&lt;=2022,2/3-((($F12-2016)/3)-2)^2-0.5*((($F12-2016)/3)-2)^3,IF($F12&lt;=2025,2/3-((($F12-2016)/3)-2)^2+0.5*((($F12-2016)/3)-2)^3,IF($F12&lt;=2028,(4-(($F12-2016)/3))^3/6,0)))))</f>
        <v>0</v>
      </c>
    </row>
    <row r="13">
      <c r="A13" s="18" t="n">
        <v>2004</v>
      </c>
      <c r="B13" s="16">
        <f>2*B12-B11</f>
        <v>-7.8303057667084701</v>
      </c>
      <c r="C13" s="16">
        <f>B13-B12</f>
        <v>-0.22948150174309101</v>
      </c>
      <c r="D13" s="16">
        <f>C13-C12</f>
        <v>0</v>
      </c>
      <c r="F13" s="18" t="n">
        <v>2001</v>
      </c>
      <c r="G13" s="16">
        <f>'M_70_t'!B8</f>
        <v>0.00075112817897161302</v>
      </c>
      <c r="H13" s="16">
        <f>SUMPRODUCT(K13:U13,$K$5:$U$5)</f>
        <v>-7.1675839884122299</v>
      </c>
      <c r="I13" s="16">
        <f>EXP(H13)</f>
        <v>0.00077118367098127601</v>
      </c>
      <c r="J13" s="15" t="inlineStr">
        <is>
          <t>Fitted</t>
        </is>
      </c>
      <c r="K13" s="16">
        <f>IF($F13&lt;=1986,0,IF($F13&lt;=1989,(($F13-1986)/3)^3/6,IF($F13&lt;=1992,2/3-((($F13-1986)/3)-2)^2-0.5*((($F13-1986)/3)-2)^3,IF($F13&lt;=1995,2/3-((($F13-1986)/3)-2)^2+0.5*((($F13-1986)/3)-2)^3,IF($F13&lt;=1998,(4-(($F13-1986)/3))^3/6,0)))))</f>
        <v>0</v>
      </c>
      <c r="L13" s="16">
        <f>IF($F13&lt;=1989,0,IF($F13&lt;=1992,(($F13-1989)/3)^3/6,IF($F13&lt;=1995,2/3-((($F13-1989)/3)-2)^2-0.5*((($F13-1989)/3)-2)^3,IF($F13&lt;=1998,2/3-((($F13-1989)/3)-2)^2+0.5*((($F13-1989)/3)-2)^3,IF($F13&lt;=2001,(4-(($F13-1989)/3))^3/6,0)))))</f>
        <v>0</v>
      </c>
      <c r="M13" s="16">
        <f>IF($F13&lt;=1992,0,IF($F13&lt;=1995,(($F13-1992)/3)^3/6,IF($F13&lt;=1998,2/3-((($F13-1992)/3)-2)^2-0.5*((($F13-1992)/3)-2)^3,IF($F13&lt;=2001,2/3-((($F13-1992)/3)-2)^2+0.5*((($F13-1992)/3)-2)^3,IF($F13&lt;=2004,(4-(($F13-1992)/3))^3/6,0)))))</f>
        <v>0.16666666666666699</v>
      </c>
      <c r="N13" s="16">
        <f>IF($F13&lt;=1995,0,IF($F13&lt;=1998,(($F13-1995)/3)^3/6,IF($F13&lt;=2001,2/3-((($F13-1995)/3)-2)^2-0.5*((($F13-1995)/3)-2)^3,IF($F13&lt;=2004,2/3-((($F13-1995)/3)-2)^2+0.5*((($F13-1995)/3)-2)^3,IF($F13&lt;=2007,(4-(($F13-1995)/3))^3/6,0)))))</f>
        <v>0.66666666666666696</v>
      </c>
      <c r="O13" s="16">
        <f>IF($F13&lt;=1998,0,IF($F13&lt;=2001,(($F13-1998)/3)^3/6,IF($F13&lt;=2004,2/3-((($F13-1998)/3)-2)^2-0.5*((($F13-1998)/3)-2)^3,IF($F13&lt;=2007,2/3-((($F13-1998)/3)-2)^2+0.5*((($F13-1998)/3)-2)^3,IF($F13&lt;=2010,(4-(($F13-1998)/3))^3/6,0)))))</f>
        <v>0.16666666666666699</v>
      </c>
      <c r="P13" s="16">
        <f>IF($F13&lt;=2001,0,IF($F13&lt;=2004,(($F13-2001)/3)^3/6,IF($F13&lt;=2007,2/3-((($F13-2001)/3)-2)^2-0.5*((($F13-2001)/3)-2)^3,IF($F13&lt;=2010,2/3-((($F13-2001)/3)-2)^2+0.5*((($F13-2001)/3)-2)^3,IF($F13&lt;=2013,(4-(($F13-2001)/3))^3/6,0)))))</f>
        <v>0</v>
      </c>
      <c r="Q13" s="16">
        <f>IF($F13&lt;=2004,0,IF($F13&lt;=2007,(($F13-2004)/3)^3/6,IF($F13&lt;=2010,2/3-((($F13-2004)/3)-2)^2-0.5*((($F13-2004)/3)-2)^3,IF($F13&lt;=2013,2/3-((($F13-2004)/3)-2)^2+0.5*((($F13-2004)/3)-2)^3,IF($F13&lt;=2016,(4-(($F13-2004)/3))^3/6,0)))))</f>
        <v>0</v>
      </c>
      <c r="R13" s="16">
        <f>IF($F13&lt;=2007,0,IF($F13&lt;=2010,(($F13-2007)/3)^3/6,IF($F13&lt;=2013,2/3-((($F13-2007)/3)-2)^2-0.5*((($F13-2007)/3)-2)^3,IF($F13&lt;=2016,2/3-((($F13-2007)/3)-2)^2+0.5*((($F13-2007)/3)-2)^3,IF($F13&lt;=2019,(4-(($F13-2007)/3))^3/6,0)))))</f>
        <v>0</v>
      </c>
      <c r="S13" s="16">
        <f>IF($F13&lt;=2010,0,IF($F13&lt;=2013,(($F13-2010)/3)^3/6,IF($F13&lt;=2016,2/3-((($F13-2010)/3)-2)^2-0.5*((($F13-2010)/3)-2)^3,IF($F13&lt;=2019,2/3-((($F13-2010)/3)-2)^2+0.5*((($F13-2010)/3)-2)^3,IF($F13&lt;=2022,(4-(($F13-2010)/3))^3/6,0)))))</f>
        <v>0</v>
      </c>
      <c r="T13" s="16">
        <f>IF($F13&lt;=2013,0,IF($F13&lt;=2016,(($F13-2013)/3)^3/6,IF($F13&lt;=2019,2/3-((($F13-2013)/3)-2)^2-0.5*((($F13-2013)/3)-2)^3,IF($F13&lt;=2022,2/3-((($F13-2013)/3)-2)^2+0.5*((($F13-2013)/3)-2)^3,IF($F13&lt;=2025,(4-(($F13-2013)/3))^3/6,0)))))</f>
        <v>0</v>
      </c>
      <c r="U13" s="16">
        <f>IF($F13&lt;=2016,0,IF($F13&lt;=2019,(($F13-2016)/3)^3/6,IF($F13&lt;=2022,2/3-((($F13-2016)/3)-2)^2-0.5*((($F13-2016)/3)-2)^3,IF($F13&lt;=2025,2/3-((($F13-2016)/3)-2)^2+0.5*((($F13-2016)/3)-2)^3,IF($F13&lt;=2028,(4-(($F13-2016)/3))^3/6,0)))))</f>
        <v>0</v>
      </c>
    </row>
    <row r="14">
      <c r="A14" s="18" t="n">
        <v>2007</v>
      </c>
      <c r="B14" s="16">
        <f>2*B13-B12</f>
        <v>-8.0597872684515703</v>
      </c>
      <c r="C14" s="16">
        <f>B14-B13</f>
        <v>-0.22948150174309201</v>
      </c>
      <c r="D14" s="16">
        <f>C14-C13</f>
        <v>-8.8817841970012504e-16</v>
      </c>
      <c r="F14" s="18" t="n">
        <v>2002</v>
      </c>
      <c r="G14" s="16">
        <f>'M_70_t'!B9</f>
        <v>0.00070428750137965703</v>
      </c>
      <c r="H14" s="16">
        <f>SUMPRODUCT(K14:U14,$K$5:$U$5)</f>
        <v>-7.2286623972696296</v>
      </c>
      <c r="I14" s="16">
        <f>EXP(H14)</f>
        <v>0.00072549063267319798</v>
      </c>
      <c r="J14" s="15" t="inlineStr">
        <is>
          <t>Fitted</t>
        </is>
      </c>
      <c r="K14" s="16">
        <f>IF($F14&lt;=1986,0,IF($F14&lt;=1989,(($F14-1986)/3)^3/6,IF($F14&lt;=1992,2/3-((($F14-1986)/3)-2)^2-0.5*((($F14-1986)/3)-2)^3,IF($F14&lt;=1995,2/3-((($F14-1986)/3)-2)^2+0.5*((($F14-1986)/3)-2)^3,IF($F14&lt;=1998,(4-(($F14-1986)/3))^3/6,0)))))</f>
        <v>0</v>
      </c>
      <c r="L14" s="16">
        <f>IF($F14&lt;=1989,0,IF($F14&lt;=1992,(($F14-1989)/3)^3/6,IF($F14&lt;=1995,2/3-((($F14-1989)/3)-2)^2-0.5*((($F14-1989)/3)-2)^3,IF($F14&lt;=1998,2/3-((($F14-1989)/3)-2)^2+0.5*((($F14-1989)/3)-2)^3,IF($F14&lt;=2001,(4-(($F14-1989)/3))^3/6,0)))))</f>
        <v>0</v>
      </c>
      <c r="M14" s="16">
        <f>IF($F14&lt;=1992,0,IF($F14&lt;=1995,(($F14-1992)/3)^3/6,IF($F14&lt;=1998,2/3-((($F14-1992)/3)-2)^2-0.5*((($F14-1992)/3)-2)^3,IF($F14&lt;=2001,2/3-((($F14-1992)/3)-2)^2+0.5*((($F14-1992)/3)-2)^3,IF($F14&lt;=2004,(4-(($F14-1992)/3))^3/6,0)))))</f>
        <v>0.049382716049382699</v>
      </c>
      <c r="N14" s="16">
        <f>IF($F14&lt;=1995,0,IF($F14&lt;=1998,(($F14-1995)/3)^3/6,IF($F14&lt;=2001,2/3-((($F14-1995)/3)-2)^2-0.5*((($F14-1995)/3)-2)^3,IF($F14&lt;=2004,2/3-((($F14-1995)/3)-2)^2+0.5*((($F14-1995)/3)-2)^3,IF($F14&lt;=2007,(4-(($F14-1995)/3))^3/6,0)))))</f>
        <v>0.57407407407407396</v>
      </c>
      <c r="O14" s="16">
        <f>IF($F14&lt;=1998,0,IF($F14&lt;=2001,(($F14-1998)/3)^3/6,IF($F14&lt;=2004,2/3-((($F14-1998)/3)-2)^2-0.5*((($F14-1998)/3)-2)^3,IF($F14&lt;=2007,2/3-((($F14-1998)/3)-2)^2+0.5*((($F14-1998)/3)-2)^3,IF($F14&lt;=2010,(4-(($F14-1998)/3))^3/6,0)))))</f>
        <v>0.37037037037037002</v>
      </c>
      <c r="P14" s="16">
        <f>IF($F14&lt;=2001,0,IF($F14&lt;=2004,(($F14-2001)/3)^3/6,IF($F14&lt;=2007,2/3-((($F14-2001)/3)-2)^2-0.5*((($F14-2001)/3)-2)^3,IF($F14&lt;=2010,2/3-((($F14-2001)/3)-2)^2+0.5*((($F14-2001)/3)-2)^3,IF($F14&lt;=2013,(4-(($F14-2001)/3))^3/6,0)))))</f>
        <v>0.00617283950617284</v>
      </c>
      <c r="Q14" s="16">
        <f>IF($F14&lt;=2004,0,IF($F14&lt;=2007,(($F14-2004)/3)^3/6,IF($F14&lt;=2010,2/3-((($F14-2004)/3)-2)^2-0.5*((($F14-2004)/3)-2)^3,IF($F14&lt;=2013,2/3-((($F14-2004)/3)-2)^2+0.5*((($F14-2004)/3)-2)^3,IF($F14&lt;=2016,(4-(($F14-2004)/3))^3/6,0)))))</f>
        <v>0</v>
      </c>
      <c r="R14" s="16">
        <f>IF($F14&lt;=2007,0,IF($F14&lt;=2010,(($F14-2007)/3)^3/6,IF($F14&lt;=2013,2/3-((($F14-2007)/3)-2)^2-0.5*((($F14-2007)/3)-2)^3,IF($F14&lt;=2016,2/3-((($F14-2007)/3)-2)^2+0.5*((($F14-2007)/3)-2)^3,IF($F14&lt;=2019,(4-(($F14-2007)/3))^3/6,0)))))</f>
        <v>0</v>
      </c>
      <c r="S14" s="16">
        <f>IF($F14&lt;=2010,0,IF($F14&lt;=2013,(($F14-2010)/3)^3/6,IF($F14&lt;=2016,2/3-((($F14-2010)/3)-2)^2-0.5*((($F14-2010)/3)-2)^3,IF($F14&lt;=2019,2/3-((($F14-2010)/3)-2)^2+0.5*((($F14-2010)/3)-2)^3,IF($F14&lt;=2022,(4-(($F14-2010)/3))^3/6,0)))))</f>
        <v>0</v>
      </c>
      <c r="T14" s="16">
        <f>IF($F14&lt;=2013,0,IF($F14&lt;=2016,(($F14-2013)/3)^3/6,IF($F14&lt;=2019,2/3-((($F14-2013)/3)-2)^2-0.5*((($F14-2013)/3)-2)^3,IF($F14&lt;=2022,2/3-((($F14-2013)/3)-2)^2+0.5*((($F14-2013)/3)-2)^3,IF($F14&lt;=2025,(4-(($F14-2013)/3))^3/6,0)))))</f>
        <v>0</v>
      </c>
      <c r="U14" s="16">
        <f>IF($F14&lt;=2016,0,IF($F14&lt;=2019,(($F14-2016)/3)^3/6,IF($F14&lt;=2022,2/3-((($F14-2016)/3)-2)^2-0.5*((($F14-2016)/3)-2)^3,IF($F14&lt;=2025,2/3-((($F14-2016)/3)-2)^2+0.5*((($F14-2016)/3)-2)^3,IF($F14&lt;=2028,(4-(($F14-2016)/3))^3/6,0)))))</f>
        <v>0</v>
      </c>
    </row>
    <row r="15">
      <c r="A15" s="18" t="n">
        <v>2010</v>
      </c>
      <c r="B15" s="16">
        <f>2*B14-B13</f>
        <v>-8.2892687701946599</v>
      </c>
      <c r="C15" s="16">
        <f>B15-B14</f>
        <v>-0.22948150174309101</v>
      </c>
      <c r="D15" s="16">
        <f>C15-C14</f>
        <v>8.8817841970012504e-16</v>
      </c>
      <c r="F15" s="18" t="n">
        <v>2003</v>
      </c>
      <c r="G15" s="16">
        <f>'M_70_t'!B10</f>
        <v>0.00062560881810524603</v>
      </c>
      <c r="H15" s="16">
        <f>SUMPRODUCT(K15:U15,$K$5:$U$5)</f>
        <v>-7.2982672323519697</v>
      </c>
      <c r="I15" s="16">
        <f>EXP(H15)</f>
        <v>0.00067671034166159405</v>
      </c>
      <c r="J15" s="15" t="inlineStr">
        <is>
          <t>Fitted</t>
        </is>
      </c>
      <c r="K15" s="16">
        <f>IF($F15&lt;=1986,0,IF($F15&lt;=1989,(($F15-1986)/3)^3/6,IF($F15&lt;=1992,2/3-((($F15-1986)/3)-2)^2-0.5*((($F15-1986)/3)-2)^3,IF($F15&lt;=1995,2/3-((($F15-1986)/3)-2)^2+0.5*((($F15-1986)/3)-2)^3,IF($F15&lt;=1998,(4-(($F15-1986)/3))^3/6,0)))))</f>
        <v>0</v>
      </c>
      <c r="L15" s="16">
        <f>IF($F15&lt;=1989,0,IF($F15&lt;=1992,(($F15-1989)/3)^3/6,IF($F15&lt;=1995,2/3-((($F15-1989)/3)-2)^2-0.5*((($F15-1989)/3)-2)^3,IF($F15&lt;=1998,2/3-((($F15-1989)/3)-2)^2+0.5*((($F15-1989)/3)-2)^3,IF($F15&lt;=2001,(4-(($F15-1989)/3))^3/6,0)))))</f>
        <v>0</v>
      </c>
      <c r="M15" s="16">
        <f>IF($F15&lt;=1992,0,IF($F15&lt;=1995,(($F15-1992)/3)^3/6,IF($F15&lt;=1998,2/3-((($F15-1992)/3)-2)^2-0.5*((($F15-1992)/3)-2)^3,IF($F15&lt;=2001,2/3-((($F15-1992)/3)-2)^2+0.5*((($F15-1992)/3)-2)^3,IF($F15&lt;=2004,(4-(($F15-1992)/3))^3/6,0)))))</f>
        <v>0.00617283950617284</v>
      </c>
      <c r="N15" s="16">
        <f>IF($F15&lt;=1995,0,IF($F15&lt;=1998,(($F15-1995)/3)^3/6,IF($F15&lt;=2001,2/3-((($F15-1995)/3)-2)^2-0.5*((($F15-1995)/3)-2)^3,IF($F15&lt;=2004,2/3-((($F15-1995)/3)-2)^2+0.5*((($F15-1995)/3)-2)^3,IF($F15&lt;=2007,(4-(($F15-1995)/3))^3/6,0)))))</f>
        <v>0.37037037037037002</v>
      </c>
      <c r="O15" s="16">
        <f>IF($F15&lt;=1998,0,IF($F15&lt;=2001,(($F15-1998)/3)^3/6,IF($F15&lt;=2004,2/3-((($F15-1998)/3)-2)^2-0.5*((($F15-1998)/3)-2)^3,IF($F15&lt;=2007,2/3-((($F15-1998)/3)-2)^2+0.5*((($F15-1998)/3)-2)^3,IF($F15&lt;=2010,(4-(($F15-1998)/3))^3/6,0)))))</f>
        <v>0.57407407407407396</v>
      </c>
      <c r="P15" s="16">
        <f>IF($F15&lt;=2001,0,IF($F15&lt;=2004,(($F15-2001)/3)^3/6,IF($F15&lt;=2007,2/3-((($F15-2001)/3)-2)^2-0.5*((($F15-2001)/3)-2)^3,IF($F15&lt;=2010,2/3-((($F15-2001)/3)-2)^2+0.5*((($F15-2001)/3)-2)^3,IF($F15&lt;=2013,(4-(($F15-2001)/3))^3/6,0)))))</f>
        <v>0.049382716049382699</v>
      </c>
      <c r="Q15" s="16">
        <f>IF($F15&lt;=2004,0,IF($F15&lt;=2007,(($F15-2004)/3)^3/6,IF($F15&lt;=2010,2/3-((($F15-2004)/3)-2)^2-0.5*((($F15-2004)/3)-2)^3,IF($F15&lt;=2013,2/3-((($F15-2004)/3)-2)^2+0.5*((($F15-2004)/3)-2)^3,IF($F15&lt;=2016,(4-(($F15-2004)/3))^3/6,0)))))</f>
        <v>0</v>
      </c>
      <c r="R15" s="16">
        <f>IF($F15&lt;=2007,0,IF($F15&lt;=2010,(($F15-2007)/3)^3/6,IF($F15&lt;=2013,2/3-((($F15-2007)/3)-2)^2-0.5*((($F15-2007)/3)-2)^3,IF($F15&lt;=2016,2/3-((($F15-2007)/3)-2)^2+0.5*((($F15-2007)/3)-2)^3,IF($F15&lt;=2019,(4-(($F15-2007)/3))^3/6,0)))))</f>
        <v>0</v>
      </c>
      <c r="S15" s="16">
        <f>IF($F15&lt;=2010,0,IF($F15&lt;=2013,(($F15-2010)/3)^3/6,IF($F15&lt;=2016,2/3-((($F15-2010)/3)-2)^2-0.5*((($F15-2010)/3)-2)^3,IF($F15&lt;=2019,2/3-((($F15-2010)/3)-2)^2+0.5*((($F15-2010)/3)-2)^3,IF($F15&lt;=2022,(4-(($F15-2010)/3))^3/6,0)))))</f>
        <v>0</v>
      </c>
      <c r="T15" s="16">
        <f>IF($F15&lt;=2013,0,IF($F15&lt;=2016,(($F15-2013)/3)^3/6,IF($F15&lt;=2019,2/3-((($F15-2013)/3)-2)^2-0.5*((($F15-2013)/3)-2)^3,IF($F15&lt;=2022,2/3-((($F15-2013)/3)-2)^2+0.5*((($F15-2013)/3)-2)^3,IF($F15&lt;=2025,(4-(($F15-2013)/3))^3/6,0)))))</f>
        <v>0</v>
      </c>
      <c r="U15" s="16">
        <f>IF($F15&lt;=2016,0,IF($F15&lt;=2019,(($F15-2016)/3)^3/6,IF($F15&lt;=2022,2/3-((($F15-2016)/3)-2)^2-0.5*((($F15-2016)/3)-2)^3,IF($F15&lt;=2025,2/3-((($F15-2016)/3)-2)^2+0.5*((($F15-2016)/3)-2)^3,IF($F15&lt;=2028,(4-(($F15-2016)/3))^3/6,0)))))</f>
        <v>0</v>
      </c>
    </row>
    <row r="16">
      <c r="A16" s="18" t="n">
        <v>2013</v>
      </c>
      <c r="B16" s="16">
        <f>2*B15-B14</f>
        <v>-8.5187502719377495</v>
      </c>
      <c r="C16" s="16">
        <f>B16-B15</f>
        <v>-0.22948150174309101</v>
      </c>
      <c r="D16" s="16">
        <f>C16-C15</f>
        <v>0</v>
      </c>
      <c r="F16" s="18" t="n">
        <v>2004</v>
      </c>
      <c r="G16" s="16">
        <f>'M_70_t'!B11</f>
        <v>0.00063014139456242795</v>
      </c>
      <c r="H16" s="16">
        <f>SUMPRODUCT(K16:U16,$K$5:$U$5)</f>
        <v>-7.3725315392090103</v>
      </c>
      <c r="I16" s="16">
        <f>EXP(H16)</f>
        <v>0.00062827565971880495</v>
      </c>
      <c r="J16" s="15" t="inlineStr">
        <is>
          <t>Fitted</t>
        </is>
      </c>
      <c r="K16" s="16">
        <f>IF($F16&lt;=1986,0,IF($F16&lt;=1989,(($F16-1986)/3)^3/6,IF($F16&lt;=1992,2/3-((($F16-1986)/3)-2)^2-0.5*((($F16-1986)/3)-2)^3,IF($F16&lt;=1995,2/3-((($F16-1986)/3)-2)^2+0.5*((($F16-1986)/3)-2)^3,IF($F16&lt;=1998,(4-(($F16-1986)/3))^3/6,0)))))</f>
        <v>0</v>
      </c>
      <c r="L16" s="16">
        <f>IF($F16&lt;=1989,0,IF($F16&lt;=1992,(($F16-1989)/3)^3/6,IF($F16&lt;=1995,2/3-((($F16-1989)/3)-2)^2-0.5*((($F16-1989)/3)-2)^3,IF($F16&lt;=1998,2/3-((($F16-1989)/3)-2)^2+0.5*((($F16-1989)/3)-2)^3,IF($F16&lt;=2001,(4-(($F16-1989)/3))^3/6,0)))))</f>
        <v>0</v>
      </c>
      <c r="M16" s="16">
        <f>IF($F16&lt;=1992,0,IF($F16&lt;=1995,(($F16-1992)/3)^3/6,IF($F16&lt;=1998,2/3-((($F16-1992)/3)-2)^2-0.5*((($F16-1992)/3)-2)^3,IF($F16&lt;=2001,2/3-((($F16-1992)/3)-2)^2+0.5*((($F16-1992)/3)-2)^3,IF($F16&lt;=2004,(4-(($F16-1992)/3))^3/6,0)))))</f>
        <v>0</v>
      </c>
      <c r="N16" s="16">
        <f>IF($F16&lt;=1995,0,IF($F16&lt;=1998,(($F16-1995)/3)^3/6,IF($F16&lt;=2001,2/3-((($F16-1995)/3)-2)^2-0.5*((($F16-1995)/3)-2)^3,IF($F16&lt;=2004,2/3-((($F16-1995)/3)-2)^2+0.5*((($F16-1995)/3)-2)^3,IF($F16&lt;=2007,(4-(($F16-1995)/3))^3/6,0)))))</f>
        <v>0.16666666666666699</v>
      </c>
      <c r="O16" s="16">
        <f>IF($F16&lt;=1998,0,IF($F16&lt;=2001,(($F16-1998)/3)^3/6,IF($F16&lt;=2004,2/3-((($F16-1998)/3)-2)^2-0.5*((($F16-1998)/3)-2)^3,IF($F16&lt;=2007,2/3-((($F16-1998)/3)-2)^2+0.5*((($F16-1998)/3)-2)^3,IF($F16&lt;=2010,(4-(($F16-1998)/3))^3/6,0)))))</f>
        <v>0.66666666666666696</v>
      </c>
      <c r="P16" s="16">
        <f>IF($F16&lt;=2001,0,IF($F16&lt;=2004,(($F16-2001)/3)^3/6,IF($F16&lt;=2007,2/3-((($F16-2001)/3)-2)^2-0.5*((($F16-2001)/3)-2)^3,IF($F16&lt;=2010,2/3-((($F16-2001)/3)-2)^2+0.5*((($F16-2001)/3)-2)^3,IF($F16&lt;=2013,(4-(($F16-2001)/3))^3/6,0)))))</f>
        <v>0.16666666666666699</v>
      </c>
      <c r="Q16" s="16">
        <f>IF($F16&lt;=2004,0,IF($F16&lt;=2007,(($F16-2004)/3)^3/6,IF($F16&lt;=2010,2/3-((($F16-2004)/3)-2)^2-0.5*((($F16-2004)/3)-2)^3,IF($F16&lt;=2013,2/3-((($F16-2004)/3)-2)^2+0.5*((($F16-2004)/3)-2)^3,IF($F16&lt;=2016,(4-(($F16-2004)/3))^3/6,0)))))</f>
        <v>0</v>
      </c>
      <c r="R16" s="16">
        <f>IF($F16&lt;=2007,0,IF($F16&lt;=2010,(($F16-2007)/3)^3/6,IF($F16&lt;=2013,2/3-((($F16-2007)/3)-2)^2-0.5*((($F16-2007)/3)-2)^3,IF($F16&lt;=2016,2/3-((($F16-2007)/3)-2)^2+0.5*((($F16-2007)/3)-2)^3,IF($F16&lt;=2019,(4-(($F16-2007)/3))^3/6,0)))))</f>
        <v>0</v>
      </c>
      <c r="S16" s="16">
        <f>IF($F16&lt;=2010,0,IF($F16&lt;=2013,(($F16-2010)/3)^3/6,IF($F16&lt;=2016,2/3-((($F16-2010)/3)-2)^2-0.5*((($F16-2010)/3)-2)^3,IF($F16&lt;=2019,2/3-((($F16-2010)/3)-2)^2+0.5*((($F16-2010)/3)-2)^3,IF($F16&lt;=2022,(4-(($F16-2010)/3))^3/6,0)))))</f>
        <v>0</v>
      </c>
      <c r="T16" s="16">
        <f>IF($F16&lt;=2013,0,IF($F16&lt;=2016,(($F16-2013)/3)^3/6,IF($F16&lt;=2019,2/3-((($F16-2013)/3)-2)^2-0.5*((($F16-2013)/3)-2)^3,IF($F16&lt;=2022,2/3-((($F16-2013)/3)-2)^2+0.5*((($F16-2013)/3)-2)^3,IF($F16&lt;=2025,(4-(($F16-2013)/3))^3/6,0)))))</f>
        <v>0</v>
      </c>
      <c r="U16" s="16">
        <f>IF($F16&lt;=2016,0,IF($F16&lt;=2019,(($F16-2016)/3)^3/6,IF($F16&lt;=2022,2/3-((($F16-2016)/3)-2)^2-0.5*((($F16-2016)/3)-2)^3,IF($F16&lt;=2025,2/3-((($F16-2016)/3)-2)^2+0.5*((($F16-2016)/3)-2)^3,IF($F16&lt;=2028,(4-(($F16-2016)/3))^3/6,0)))))</f>
        <v>0</v>
      </c>
    </row>
    <row r="17">
      <c r="A17" s="18" t="n">
        <v>2016</v>
      </c>
      <c r="B17" s="16">
        <f>2*B16-B15</f>
        <v>-8.7482317736808408</v>
      </c>
      <c r="C17" s="16">
        <f>B17-B16</f>
        <v>-0.22948150174309101</v>
      </c>
      <c r="D17" s="16">
        <f>C17-C16</f>
        <v>0</v>
      </c>
      <c r="F17" s="18" t="n">
        <v>2005</v>
      </c>
      <c r="G17" s="16">
        <f>'M_70_t'!B12</f>
        <v>0.000583834238658234</v>
      </c>
      <c r="H17" s="16">
        <f>SUMPRODUCT(K17:U17,$K$5:$U$5)</f>
        <v>-7.4481888270586403</v>
      </c>
      <c r="I17" s="16">
        <f>EXP(H17)</f>
        <v>0.00058249565774999904</v>
      </c>
      <c r="J17" s="15" t="inlineStr">
        <is>
          <t>Projected</t>
        </is>
      </c>
      <c r="K17" s="16">
        <f>IF($F17&lt;=1986,0,IF($F17&lt;=1989,(($F17-1986)/3)^3/6,IF($F17&lt;=1992,2/3-((($F17-1986)/3)-2)^2-0.5*((($F17-1986)/3)-2)^3,IF($F17&lt;=1995,2/3-((($F17-1986)/3)-2)^2+0.5*((($F17-1986)/3)-2)^3,IF($F17&lt;=1998,(4-(($F17-1986)/3))^3/6,0)))))</f>
        <v>0</v>
      </c>
      <c r="L17" s="16">
        <f>IF($F17&lt;=1989,0,IF($F17&lt;=1992,(($F17-1989)/3)^3/6,IF($F17&lt;=1995,2/3-((($F17-1989)/3)-2)^2-0.5*((($F17-1989)/3)-2)^3,IF($F17&lt;=1998,2/3-((($F17-1989)/3)-2)^2+0.5*((($F17-1989)/3)-2)^3,IF($F17&lt;=2001,(4-(($F17-1989)/3))^3/6,0)))))</f>
        <v>0</v>
      </c>
      <c r="M17" s="16">
        <f>IF($F17&lt;=1992,0,IF($F17&lt;=1995,(($F17-1992)/3)^3/6,IF($F17&lt;=1998,2/3-((($F17-1992)/3)-2)^2-0.5*((($F17-1992)/3)-2)^3,IF($F17&lt;=2001,2/3-((($F17-1992)/3)-2)^2+0.5*((($F17-1992)/3)-2)^3,IF($F17&lt;=2004,(4-(($F17-1992)/3))^3/6,0)))))</f>
        <v>0</v>
      </c>
      <c r="N17" s="16">
        <f>IF($F17&lt;=1995,0,IF($F17&lt;=1998,(($F17-1995)/3)^3/6,IF($F17&lt;=2001,2/3-((($F17-1995)/3)-2)^2-0.5*((($F17-1995)/3)-2)^3,IF($F17&lt;=2004,2/3-((($F17-1995)/3)-2)^2+0.5*((($F17-1995)/3)-2)^3,IF($F17&lt;=2007,(4-(($F17-1995)/3))^3/6,0)))))</f>
        <v>0.049382716049382699</v>
      </c>
      <c r="O17" s="16">
        <f>IF($F17&lt;=1998,0,IF($F17&lt;=2001,(($F17-1998)/3)^3/6,IF($F17&lt;=2004,2/3-((($F17-1998)/3)-2)^2-0.5*((($F17-1998)/3)-2)^3,IF($F17&lt;=2007,2/3-((($F17-1998)/3)-2)^2+0.5*((($F17-1998)/3)-2)^3,IF($F17&lt;=2010,(4-(($F17-1998)/3))^3/6,0)))))</f>
        <v>0.57407407407407396</v>
      </c>
      <c r="P17" s="16">
        <f>IF($F17&lt;=2001,0,IF($F17&lt;=2004,(($F17-2001)/3)^3/6,IF($F17&lt;=2007,2/3-((($F17-2001)/3)-2)^2-0.5*((($F17-2001)/3)-2)^3,IF($F17&lt;=2010,2/3-((($F17-2001)/3)-2)^2+0.5*((($F17-2001)/3)-2)^3,IF($F17&lt;=2013,(4-(($F17-2001)/3))^3/6,0)))))</f>
        <v>0.37037037037037002</v>
      </c>
      <c r="Q17" s="16">
        <f>IF($F17&lt;=2004,0,IF($F17&lt;=2007,(($F17-2004)/3)^3/6,IF($F17&lt;=2010,2/3-((($F17-2004)/3)-2)^2-0.5*((($F17-2004)/3)-2)^3,IF($F17&lt;=2013,2/3-((($F17-2004)/3)-2)^2+0.5*((($F17-2004)/3)-2)^3,IF($F17&lt;=2016,(4-(($F17-2004)/3))^3/6,0)))))</f>
        <v>0.00617283950617284</v>
      </c>
      <c r="R17" s="16">
        <f>IF($F17&lt;=2007,0,IF($F17&lt;=2010,(($F17-2007)/3)^3/6,IF($F17&lt;=2013,2/3-((($F17-2007)/3)-2)^2-0.5*((($F17-2007)/3)-2)^3,IF($F17&lt;=2016,2/3-((($F17-2007)/3)-2)^2+0.5*((($F17-2007)/3)-2)^3,IF($F17&lt;=2019,(4-(($F17-2007)/3))^3/6,0)))))</f>
        <v>0</v>
      </c>
      <c r="S17" s="16">
        <f>IF($F17&lt;=2010,0,IF($F17&lt;=2013,(($F17-2010)/3)^3/6,IF($F17&lt;=2016,2/3-((($F17-2010)/3)-2)^2-0.5*((($F17-2010)/3)-2)^3,IF($F17&lt;=2019,2/3-((($F17-2010)/3)-2)^2+0.5*((($F17-2010)/3)-2)^3,IF($F17&lt;=2022,(4-(($F17-2010)/3))^3/6,0)))))</f>
        <v>0</v>
      </c>
      <c r="T17" s="16">
        <f>IF($F17&lt;=2013,0,IF($F17&lt;=2016,(($F17-2013)/3)^3/6,IF($F17&lt;=2019,2/3-((($F17-2013)/3)-2)^2-0.5*((($F17-2013)/3)-2)^3,IF($F17&lt;=2022,2/3-((($F17-2013)/3)-2)^2+0.5*((($F17-2013)/3)-2)^3,IF($F17&lt;=2025,(4-(($F17-2013)/3))^3/6,0)))))</f>
        <v>0</v>
      </c>
      <c r="U17" s="16">
        <f>IF($F17&lt;=2016,0,IF($F17&lt;=2019,(($F17-2016)/3)^3/6,IF($F17&lt;=2022,2/3-((($F17-2016)/3)-2)^2-0.5*((($F17-2016)/3)-2)^3,IF($F17&lt;=2025,2/3-((($F17-2016)/3)-2)^2+0.5*((($F17-2016)/3)-2)^3,IF($F17&lt;=2028,(4-(($F17-2016)/3))^3/6,0)))))</f>
        <v>0</v>
      </c>
    </row>
    <row r="18">
      <c r="A18" s="19" t="n"/>
      <c r="F18" s="18" t="n">
        <v>2006</v>
      </c>
      <c r="G18" s="16">
        <f>'M_70_t'!B13</f>
        <v>0.00049907284917174999</v>
      </c>
      <c r="H18" s="16">
        <f>SUMPRODUCT(K18:U18,$K$5:$U$5)</f>
        <v>-7.5243744597912698</v>
      </c>
      <c r="I18" s="16">
        <f>EXP(H18)</f>
        <v>0.00053976620827633098</v>
      </c>
      <c r="J18" s="15" t="inlineStr">
        <is>
          <t>Projected</t>
        </is>
      </c>
      <c r="K18" s="16">
        <f>IF($F18&lt;=1986,0,IF($F18&lt;=1989,(($F18-1986)/3)^3/6,IF($F18&lt;=1992,2/3-((($F18-1986)/3)-2)^2-0.5*((($F18-1986)/3)-2)^3,IF($F18&lt;=1995,2/3-((($F18-1986)/3)-2)^2+0.5*((($F18-1986)/3)-2)^3,IF($F18&lt;=1998,(4-(($F18-1986)/3))^3/6,0)))))</f>
        <v>0</v>
      </c>
      <c r="L18" s="16">
        <f>IF($F18&lt;=1989,0,IF($F18&lt;=1992,(($F18-1989)/3)^3/6,IF($F18&lt;=1995,2/3-((($F18-1989)/3)-2)^2-0.5*((($F18-1989)/3)-2)^3,IF($F18&lt;=1998,2/3-((($F18-1989)/3)-2)^2+0.5*((($F18-1989)/3)-2)^3,IF($F18&lt;=2001,(4-(($F18-1989)/3))^3/6,0)))))</f>
        <v>0</v>
      </c>
      <c r="M18" s="16">
        <f>IF($F18&lt;=1992,0,IF($F18&lt;=1995,(($F18-1992)/3)^3/6,IF($F18&lt;=1998,2/3-((($F18-1992)/3)-2)^2-0.5*((($F18-1992)/3)-2)^3,IF($F18&lt;=2001,2/3-((($F18-1992)/3)-2)^2+0.5*((($F18-1992)/3)-2)^3,IF($F18&lt;=2004,(4-(($F18-1992)/3))^3/6,0)))))</f>
        <v>0</v>
      </c>
      <c r="N18" s="16">
        <f>IF($F18&lt;=1995,0,IF($F18&lt;=1998,(($F18-1995)/3)^3/6,IF($F18&lt;=2001,2/3-((($F18-1995)/3)-2)^2-0.5*((($F18-1995)/3)-2)^3,IF($F18&lt;=2004,2/3-((($F18-1995)/3)-2)^2+0.5*((($F18-1995)/3)-2)^3,IF($F18&lt;=2007,(4-(($F18-1995)/3))^3/6,0)))))</f>
        <v>0.00617283950617284</v>
      </c>
      <c r="O18" s="16">
        <f>IF($F18&lt;=1998,0,IF($F18&lt;=2001,(($F18-1998)/3)^3/6,IF($F18&lt;=2004,2/3-((($F18-1998)/3)-2)^2-0.5*((($F18-1998)/3)-2)^3,IF($F18&lt;=2007,2/3-((($F18-1998)/3)-2)^2+0.5*((($F18-1998)/3)-2)^3,IF($F18&lt;=2010,(4-(($F18-1998)/3))^3/6,0)))))</f>
        <v>0.37037037037037002</v>
      </c>
      <c r="P18" s="16">
        <f>IF($F18&lt;=2001,0,IF($F18&lt;=2004,(($F18-2001)/3)^3/6,IF($F18&lt;=2007,2/3-((($F18-2001)/3)-2)^2-0.5*((($F18-2001)/3)-2)^3,IF($F18&lt;=2010,2/3-((($F18-2001)/3)-2)^2+0.5*((($F18-2001)/3)-2)^3,IF($F18&lt;=2013,(4-(($F18-2001)/3))^3/6,0)))))</f>
        <v>0.57407407407407396</v>
      </c>
      <c r="Q18" s="16">
        <f>IF($F18&lt;=2004,0,IF($F18&lt;=2007,(($F18-2004)/3)^3/6,IF($F18&lt;=2010,2/3-((($F18-2004)/3)-2)^2-0.5*((($F18-2004)/3)-2)^3,IF($F18&lt;=2013,2/3-((($F18-2004)/3)-2)^2+0.5*((($F18-2004)/3)-2)^3,IF($F18&lt;=2016,(4-(($F18-2004)/3))^3/6,0)))))</f>
        <v>0.049382716049382699</v>
      </c>
      <c r="R18" s="16">
        <f>IF($F18&lt;=2007,0,IF($F18&lt;=2010,(($F18-2007)/3)^3/6,IF($F18&lt;=2013,2/3-((($F18-2007)/3)-2)^2-0.5*((($F18-2007)/3)-2)^3,IF($F18&lt;=2016,2/3-((($F18-2007)/3)-2)^2+0.5*((($F18-2007)/3)-2)^3,IF($F18&lt;=2019,(4-(($F18-2007)/3))^3/6,0)))))</f>
        <v>0</v>
      </c>
      <c r="S18" s="16">
        <f>IF($F18&lt;=2010,0,IF($F18&lt;=2013,(($F18-2010)/3)^3/6,IF($F18&lt;=2016,2/3-((($F18-2010)/3)-2)^2-0.5*((($F18-2010)/3)-2)^3,IF($F18&lt;=2019,2/3-((($F18-2010)/3)-2)^2+0.5*((($F18-2010)/3)-2)^3,IF($F18&lt;=2022,(4-(($F18-2010)/3))^3/6,0)))))</f>
        <v>0</v>
      </c>
      <c r="T18" s="16">
        <f>IF($F18&lt;=2013,0,IF($F18&lt;=2016,(($F18-2013)/3)^3/6,IF($F18&lt;=2019,2/3-((($F18-2013)/3)-2)^2-0.5*((($F18-2013)/3)-2)^3,IF($F18&lt;=2022,2/3-((($F18-2013)/3)-2)^2+0.5*((($F18-2013)/3)-2)^3,IF($F18&lt;=2025,(4-(($F18-2013)/3))^3/6,0)))))</f>
        <v>0</v>
      </c>
      <c r="U18" s="16">
        <f>IF($F18&lt;=2016,0,IF($F18&lt;=2019,(($F18-2016)/3)^3/6,IF($F18&lt;=2022,2/3-((($F18-2016)/3)-2)^2-0.5*((($F18-2016)/3)-2)^3,IF($F18&lt;=2025,2/3-((($F18-2016)/3)-2)^2+0.5*((($F18-2016)/3)-2)^3,IF($F18&lt;=2028,(4-(($F18-2016)/3))^3/6,0)))))</f>
        <v>0</v>
      </c>
    </row>
    <row r="19">
      <c r="A19" s="19" t="n"/>
      <c r="F19" s="18" t="n">
        <v>2007</v>
      </c>
      <c r="G19" s="16">
        <f>'M_70_t'!B14</f>
        <v>0.00056241539734553498</v>
      </c>
      <c r="H19" s="16">
        <f>SUMPRODUCT(K19:U19,$K$5:$U$5)</f>
        <v>-7.6008242649653797</v>
      </c>
      <c r="I19" s="16">
        <f>EXP(H19)</f>
        <v>0.00050003909881698896</v>
      </c>
      <c r="J19" s="15" t="inlineStr">
        <is>
          <t>Projected</t>
        </is>
      </c>
      <c r="K19" s="16">
        <f>IF($F19&lt;=1986,0,IF($F19&lt;=1989,(($F19-1986)/3)^3/6,IF($F19&lt;=1992,2/3-((($F19-1986)/3)-2)^2-0.5*((($F19-1986)/3)-2)^3,IF($F19&lt;=1995,2/3-((($F19-1986)/3)-2)^2+0.5*((($F19-1986)/3)-2)^3,IF($F19&lt;=1998,(4-(($F19-1986)/3))^3/6,0)))))</f>
        <v>0</v>
      </c>
      <c r="L19" s="16">
        <f>IF($F19&lt;=1989,0,IF($F19&lt;=1992,(($F19-1989)/3)^3/6,IF($F19&lt;=1995,2/3-((($F19-1989)/3)-2)^2-0.5*((($F19-1989)/3)-2)^3,IF($F19&lt;=1998,2/3-((($F19-1989)/3)-2)^2+0.5*((($F19-1989)/3)-2)^3,IF($F19&lt;=2001,(4-(($F19-1989)/3))^3/6,0)))))</f>
        <v>0</v>
      </c>
      <c r="M19" s="16">
        <f>IF($F19&lt;=1992,0,IF($F19&lt;=1995,(($F19-1992)/3)^3/6,IF($F19&lt;=1998,2/3-((($F19-1992)/3)-2)^2-0.5*((($F19-1992)/3)-2)^3,IF($F19&lt;=2001,2/3-((($F19-1992)/3)-2)^2+0.5*((($F19-1992)/3)-2)^3,IF($F19&lt;=2004,(4-(($F19-1992)/3))^3/6,0)))))</f>
        <v>0</v>
      </c>
      <c r="N19" s="16">
        <f>IF($F19&lt;=1995,0,IF($F19&lt;=1998,(($F19-1995)/3)^3/6,IF($F19&lt;=2001,2/3-((($F19-1995)/3)-2)^2-0.5*((($F19-1995)/3)-2)^3,IF($F19&lt;=2004,2/3-((($F19-1995)/3)-2)^2+0.5*((($F19-1995)/3)-2)^3,IF($F19&lt;=2007,(4-(($F19-1995)/3))^3/6,0)))))</f>
        <v>0</v>
      </c>
      <c r="O19" s="16">
        <f>IF($F19&lt;=1998,0,IF($F19&lt;=2001,(($F19-1998)/3)^3/6,IF($F19&lt;=2004,2/3-((($F19-1998)/3)-2)^2-0.5*((($F19-1998)/3)-2)^3,IF($F19&lt;=2007,2/3-((($F19-1998)/3)-2)^2+0.5*((($F19-1998)/3)-2)^3,IF($F19&lt;=2010,(4-(($F19-1998)/3))^3/6,0)))))</f>
        <v>0.16666666666666699</v>
      </c>
      <c r="P19" s="16">
        <f>IF($F19&lt;=2001,0,IF($F19&lt;=2004,(($F19-2001)/3)^3/6,IF($F19&lt;=2007,2/3-((($F19-2001)/3)-2)^2-0.5*((($F19-2001)/3)-2)^3,IF($F19&lt;=2010,2/3-((($F19-2001)/3)-2)^2+0.5*((($F19-2001)/3)-2)^3,IF($F19&lt;=2013,(4-(($F19-2001)/3))^3/6,0)))))</f>
        <v>0.66666666666666696</v>
      </c>
      <c r="Q19" s="16">
        <f>IF($F19&lt;=2004,0,IF($F19&lt;=2007,(($F19-2004)/3)^3/6,IF($F19&lt;=2010,2/3-((($F19-2004)/3)-2)^2-0.5*((($F19-2004)/3)-2)^3,IF($F19&lt;=2013,2/3-((($F19-2004)/3)-2)^2+0.5*((($F19-2004)/3)-2)^3,IF($F19&lt;=2016,(4-(($F19-2004)/3))^3/6,0)))))</f>
        <v>0.16666666666666699</v>
      </c>
      <c r="R19" s="16">
        <f>IF($F19&lt;=2007,0,IF($F19&lt;=2010,(($F19-2007)/3)^3/6,IF($F19&lt;=2013,2/3-((($F19-2007)/3)-2)^2-0.5*((($F19-2007)/3)-2)^3,IF($F19&lt;=2016,2/3-((($F19-2007)/3)-2)^2+0.5*((($F19-2007)/3)-2)^3,IF($F19&lt;=2019,(4-(($F19-2007)/3))^3/6,0)))))</f>
        <v>0</v>
      </c>
      <c r="S19" s="16">
        <f>IF($F19&lt;=2010,0,IF($F19&lt;=2013,(($F19-2010)/3)^3/6,IF($F19&lt;=2016,2/3-((($F19-2010)/3)-2)^2-0.5*((($F19-2010)/3)-2)^3,IF($F19&lt;=2019,2/3-((($F19-2010)/3)-2)^2+0.5*((($F19-2010)/3)-2)^3,IF($F19&lt;=2022,(4-(($F19-2010)/3))^3/6,0)))))</f>
        <v>0</v>
      </c>
      <c r="T19" s="16">
        <f>IF($F19&lt;=2013,0,IF($F19&lt;=2016,(($F19-2013)/3)^3/6,IF($F19&lt;=2019,2/3-((($F19-2013)/3)-2)^2-0.5*((($F19-2013)/3)-2)^3,IF($F19&lt;=2022,2/3-((($F19-2013)/3)-2)^2+0.5*((($F19-2013)/3)-2)^3,IF($F19&lt;=2025,(4-(($F19-2013)/3))^3/6,0)))))</f>
        <v>0</v>
      </c>
      <c r="U19" s="16">
        <f>IF($F19&lt;=2016,0,IF($F19&lt;=2019,(($F19-2016)/3)^3/6,IF($F19&lt;=2022,2/3-((($F19-2016)/3)-2)^2-0.5*((($F19-2016)/3)-2)^3,IF($F19&lt;=2025,2/3-((($F19-2016)/3)-2)^2+0.5*((($F19-2016)/3)-2)^3,IF($F19&lt;=2028,(4-(($F19-2016)/3))^3/6,0)))))</f>
        <v>0</v>
      </c>
    </row>
    <row r="20">
      <c r="A20" s="19" t="n"/>
      <c r="F20" s="18" t="n">
        <v>2008</v>
      </c>
      <c r="G20" s="16">
        <f>'M_70_t'!B15</f>
        <v>0.00056619807714629496</v>
      </c>
      <c r="H20" s="16">
        <f>SUMPRODUCT(K20:U20,$K$5:$U$5)</f>
        <v>-7.6773180988797503</v>
      </c>
      <c r="I20" s="16">
        <f>EXP(H20)</f>
        <v>0.00046321553266530997</v>
      </c>
      <c r="J20" s="15" t="inlineStr">
        <is>
          <t>Projected</t>
        </is>
      </c>
      <c r="K20" s="16">
        <f>IF($F20&lt;=1986,0,IF($F20&lt;=1989,(($F20-1986)/3)^3/6,IF($F20&lt;=1992,2/3-((($F20-1986)/3)-2)^2-0.5*((($F20-1986)/3)-2)^3,IF($F20&lt;=1995,2/3-((($F20-1986)/3)-2)^2+0.5*((($F20-1986)/3)-2)^3,IF($F20&lt;=1998,(4-(($F20-1986)/3))^3/6,0)))))</f>
        <v>0</v>
      </c>
      <c r="L20" s="16">
        <f>IF($F20&lt;=1989,0,IF($F20&lt;=1992,(($F20-1989)/3)^3/6,IF($F20&lt;=1995,2/3-((($F20-1989)/3)-2)^2-0.5*((($F20-1989)/3)-2)^3,IF($F20&lt;=1998,2/3-((($F20-1989)/3)-2)^2+0.5*((($F20-1989)/3)-2)^3,IF($F20&lt;=2001,(4-(($F20-1989)/3))^3/6,0)))))</f>
        <v>0</v>
      </c>
      <c r="M20" s="16">
        <f>IF($F20&lt;=1992,0,IF($F20&lt;=1995,(($F20-1992)/3)^3/6,IF($F20&lt;=1998,2/3-((($F20-1992)/3)-2)^2-0.5*((($F20-1992)/3)-2)^3,IF($F20&lt;=2001,2/3-((($F20-1992)/3)-2)^2+0.5*((($F20-1992)/3)-2)^3,IF($F20&lt;=2004,(4-(($F20-1992)/3))^3/6,0)))))</f>
        <v>0</v>
      </c>
      <c r="N20" s="16">
        <f>IF($F20&lt;=1995,0,IF($F20&lt;=1998,(($F20-1995)/3)^3/6,IF($F20&lt;=2001,2/3-((($F20-1995)/3)-2)^2-0.5*((($F20-1995)/3)-2)^3,IF($F20&lt;=2004,2/3-((($F20-1995)/3)-2)^2+0.5*((($F20-1995)/3)-2)^3,IF($F20&lt;=2007,(4-(($F20-1995)/3))^3/6,0)))))</f>
        <v>0</v>
      </c>
      <c r="O20" s="16">
        <f>IF($F20&lt;=1998,0,IF($F20&lt;=2001,(($F20-1998)/3)^3/6,IF($F20&lt;=2004,2/3-((($F20-1998)/3)-2)^2-0.5*((($F20-1998)/3)-2)^3,IF($F20&lt;=2007,2/3-((($F20-1998)/3)-2)^2+0.5*((($F20-1998)/3)-2)^3,IF($F20&lt;=2010,(4-(($F20-1998)/3))^3/6,0)))))</f>
        <v>0.049382716049382699</v>
      </c>
      <c r="P20" s="16">
        <f>IF($F20&lt;=2001,0,IF($F20&lt;=2004,(($F20-2001)/3)^3/6,IF($F20&lt;=2007,2/3-((($F20-2001)/3)-2)^2-0.5*((($F20-2001)/3)-2)^3,IF($F20&lt;=2010,2/3-((($F20-2001)/3)-2)^2+0.5*((($F20-2001)/3)-2)^3,IF($F20&lt;=2013,(4-(($F20-2001)/3))^3/6,0)))))</f>
        <v>0.57407407407407396</v>
      </c>
      <c r="Q20" s="16">
        <f>IF($F20&lt;=2004,0,IF($F20&lt;=2007,(($F20-2004)/3)^3/6,IF($F20&lt;=2010,2/3-((($F20-2004)/3)-2)^2-0.5*((($F20-2004)/3)-2)^3,IF($F20&lt;=2013,2/3-((($F20-2004)/3)-2)^2+0.5*((($F20-2004)/3)-2)^3,IF($F20&lt;=2016,(4-(($F20-2004)/3))^3/6,0)))))</f>
        <v>0.37037037037037002</v>
      </c>
      <c r="R20" s="16">
        <f>IF($F20&lt;=2007,0,IF($F20&lt;=2010,(($F20-2007)/3)^3/6,IF($F20&lt;=2013,2/3-((($F20-2007)/3)-2)^2-0.5*((($F20-2007)/3)-2)^3,IF($F20&lt;=2016,2/3-((($F20-2007)/3)-2)^2+0.5*((($F20-2007)/3)-2)^3,IF($F20&lt;=2019,(4-(($F20-2007)/3))^3/6,0)))))</f>
        <v>0.00617283950617284</v>
      </c>
      <c r="S20" s="16">
        <f>IF($F20&lt;=2010,0,IF($F20&lt;=2013,(($F20-2010)/3)^3/6,IF($F20&lt;=2016,2/3-((($F20-2010)/3)-2)^2-0.5*((($F20-2010)/3)-2)^3,IF($F20&lt;=2019,2/3-((($F20-2010)/3)-2)^2+0.5*((($F20-2010)/3)-2)^3,IF($F20&lt;=2022,(4-(($F20-2010)/3))^3/6,0)))))</f>
        <v>0</v>
      </c>
      <c r="T20" s="16">
        <f>IF($F20&lt;=2013,0,IF($F20&lt;=2016,(($F20-2013)/3)^3/6,IF($F20&lt;=2019,2/3-((($F20-2013)/3)-2)^2-0.5*((($F20-2013)/3)-2)^3,IF($F20&lt;=2022,2/3-((($F20-2013)/3)-2)^2+0.5*((($F20-2013)/3)-2)^3,IF($F20&lt;=2025,(4-(($F20-2013)/3))^3/6,0)))))</f>
        <v>0</v>
      </c>
      <c r="U20" s="16">
        <f>IF($F20&lt;=2016,0,IF($F20&lt;=2019,(($F20-2016)/3)^3/6,IF($F20&lt;=2022,2/3-((($F20-2016)/3)-2)^2-0.5*((($F20-2016)/3)-2)^3,IF($F20&lt;=2025,2/3-((($F20-2016)/3)-2)^2+0.5*((($F20-2016)/3)-2)^3,IF($F20&lt;=2028,(4-(($F20-2016)/3))^3/6,0)))))</f>
        <v>0</v>
      </c>
    </row>
    <row r="21">
      <c r="A21" s="19" t="n"/>
      <c r="F21" s="18" t="n">
        <v>2009</v>
      </c>
      <c r="G21" s="16">
        <f>'M_70_t'!B16</f>
        <v>0.00054060671904999295</v>
      </c>
      <c r="H21" s="16">
        <f>SUMPRODUCT(K21:U21,$K$5:$U$5)</f>
        <v>-7.7538119327941102</v>
      </c>
      <c r="I21" s="16">
        <f>EXP(H21)</f>
        <v>0.00042910370451038998</v>
      </c>
      <c r="J21" s="15" t="inlineStr">
        <is>
          <t>Projected</t>
        </is>
      </c>
      <c r="K21" s="16">
        <f>IF($F21&lt;=1986,0,IF($F21&lt;=1989,(($F21-1986)/3)^3/6,IF($F21&lt;=1992,2/3-((($F21-1986)/3)-2)^2-0.5*((($F21-1986)/3)-2)^3,IF($F21&lt;=1995,2/3-((($F21-1986)/3)-2)^2+0.5*((($F21-1986)/3)-2)^3,IF($F21&lt;=1998,(4-(($F21-1986)/3))^3/6,0)))))</f>
        <v>0</v>
      </c>
      <c r="L21" s="16">
        <f>IF($F21&lt;=1989,0,IF($F21&lt;=1992,(($F21-1989)/3)^3/6,IF($F21&lt;=1995,2/3-((($F21-1989)/3)-2)^2-0.5*((($F21-1989)/3)-2)^3,IF($F21&lt;=1998,2/3-((($F21-1989)/3)-2)^2+0.5*((($F21-1989)/3)-2)^3,IF($F21&lt;=2001,(4-(($F21-1989)/3))^3/6,0)))))</f>
        <v>0</v>
      </c>
      <c r="M21" s="16">
        <f>IF($F21&lt;=1992,0,IF($F21&lt;=1995,(($F21-1992)/3)^3/6,IF($F21&lt;=1998,2/3-((($F21-1992)/3)-2)^2-0.5*((($F21-1992)/3)-2)^3,IF($F21&lt;=2001,2/3-((($F21-1992)/3)-2)^2+0.5*((($F21-1992)/3)-2)^3,IF($F21&lt;=2004,(4-(($F21-1992)/3))^3/6,0)))))</f>
        <v>0</v>
      </c>
      <c r="N21" s="16">
        <f>IF($F21&lt;=1995,0,IF($F21&lt;=1998,(($F21-1995)/3)^3/6,IF($F21&lt;=2001,2/3-((($F21-1995)/3)-2)^2-0.5*((($F21-1995)/3)-2)^3,IF($F21&lt;=2004,2/3-((($F21-1995)/3)-2)^2+0.5*((($F21-1995)/3)-2)^3,IF($F21&lt;=2007,(4-(($F21-1995)/3))^3/6,0)))))</f>
        <v>0</v>
      </c>
      <c r="O21" s="16">
        <f>IF($F21&lt;=1998,0,IF($F21&lt;=2001,(($F21-1998)/3)^3/6,IF($F21&lt;=2004,2/3-((($F21-1998)/3)-2)^2-0.5*((($F21-1998)/3)-2)^3,IF($F21&lt;=2007,2/3-((($F21-1998)/3)-2)^2+0.5*((($F21-1998)/3)-2)^3,IF($F21&lt;=2010,(4-(($F21-1998)/3))^3/6,0)))))</f>
        <v>0.00617283950617284</v>
      </c>
      <c r="P21" s="16">
        <f>IF($F21&lt;=2001,0,IF($F21&lt;=2004,(($F21-2001)/3)^3/6,IF($F21&lt;=2007,2/3-((($F21-2001)/3)-2)^2-0.5*((($F21-2001)/3)-2)^3,IF($F21&lt;=2010,2/3-((($F21-2001)/3)-2)^2+0.5*((($F21-2001)/3)-2)^3,IF($F21&lt;=2013,(4-(($F21-2001)/3))^3/6,0)))))</f>
        <v>0.37037037037037002</v>
      </c>
      <c r="Q21" s="16">
        <f>IF($F21&lt;=2004,0,IF($F21&lt;=2007,(($F21-2004)/3)^3/6,IF($F21&lt;=2010,2/3-((($F21-2004)/3)-2)^2-0.5*((($F21-2004)/3)-2)^3,IF($F21&lt;=2013,2/3-((($F21-2004)/3)-2)^2+0.5*((($F21-2004)/3)-2)^3,IF($F21&lt;=2016,(4-(($F21-2004)/3))^3/6,0)))))</f>
        <v>0.57407407407407396</v>
      </c>
      <c r="R21" s="16">
        <f>IF($F21&lt;=2007,0,IF($F21&lt;=2010,(($F21-2007)/3)^3/6,IF($F21&lt;=2013,2/3-((($F21-2007)/3)-2)^2-0.5*((($F21-2007)/3)-2)^3,IF($F21&lt;=2016,2/3-((($F21-2007)/3)-2)^2+0.5*((($F21-2007)/3)-2)^3,IF($F21&lt;=2019,(4-(($F21-2007)/3))^3/6,0)))))</f>
        <v>0.049382716049382699</v>
      </c>
      <c r="S21" s="16">
        <f>IF($F21&lt;=2010,0,IF($F21&lt;=2013,(($F21-2010)/3)^3/6,IF($F21&lt;=2016,2/3-((($F21-2010)/3)-2)^2-0.5*((($F21-2010)/3)-2)^3,IF($F21&lt;=2019,2/3-((($F21-2010)/3)-2)^2+0.5*((($F21-2010)/3)-2)^3,IF($F21&lt;=2022,(4-(($F21-2010)/3))^3/6,0)))))</f>
        <v>0</v>
      </c>
      <c r="T21" s="16">
        <f>IF($F21&lt;=2013,0,IF($F21&lt;=2016,(($F21-2013)/3)^3/6,IF($F21&lt;=2019,2/3-((($F21-2013)/3)-2)^2-0.5*((($F21-2013)/3)-2)^3,IF($F21&lt;=2022,2/3-((($F21-2013)/3)-2)^2+0.5*((($F21-2013)/3)-2)^3,IF($F21&lt;=2025,(4-(($F21-2013)/3))^3/6,0)))))</f>
        <v>0</v>
      </c>
      <c r="U21" s="16">
        <f>IF($F21&lt;=2016,0,IF($F21&lt;=2019,(($F21-2016)/3)^3/6,IF($F21&lt;=2022,2/3-((($F21-2016)/3)-2)^2-0.5*((($F21-2016)/3)-2)^3,IF($F21&lt;=2025,2/3-((($F21-2016)/3)-2)^2+0.5*((($F21-2016)/3)-2)^3,IF($F21&lt;=2028,(4-(($F21-2016)/3))^3/6,0)))))</f>
        <v>0</v>
      </c>
    </row>
    <row r="22">
      <c r="A22" s="19" t="n"/>
      <c r="F22" s="18" t="n">
        <v>2010</v>
      </c>
      <c r="G22" s="16">
        <f>'M_70_t'!B17</f>
        <v>0.000485007361502359</v>
      </c>
      <c r="H22" s="16">
        <f>SUMPRODUCT(K22:U22,$K$5:$U$5)</f>
        <v>-7.8303057667084701</v>
      </c>
      <c r="I22" s="16">
        <f>EXP(H22)</f>
        <v>0.00039750391824097399</v>
      </c>
      <c r="J22" s="15" t="inlineStr">
        <is>
          <t>Projected</t>
        </is>
      </c>
      <c r="K22" s="16">
        <f>IF($F22&lt;=1986,0,IF($F22&lt;=1989,(($F22-1986)/3)^3/6,IF($F22&lt;=1992,2/3-((($F22-1986)/3)-2)^2-0.5*((($F22-1986)/3)-2)^3,IF($F22&lt;=1995,2/3-((($F22-1986)/3)-2)^2+0.5*((($F22-1986)/3)-2)^3,IF($F22&lt;=1998,(4-(($F22-1986)/3))^3/6,0)))))</f>
        <v>0</v>
      </c>
      <c r="L22" s="16">
        <f>IF($F22&lt;=1989,0,IF($F22&lt;=1992,(($F22-1989)/3)^3/6,IF($F22&lt;=1995,2/3-((($F22-1989)/3)-2)^2-0.5*((($F22-1989)/3)-2)^3,IF($F22&lt;=1998,2/3-((($F22-1989)/3)-2)^2+0.5*((($F22-1989)/3)-2)^3,IF($F22&lt;=2001,(4-(($F22-1989)/3))^3/6,0)))))</f>
        <v>0</v>
      </c>
      <c r="M22" s="16">
        <f>IF($F22&lt;=1992,0,IF($F22&lt;=1995,(($F22-1992)/3)^3/6,IF($F22&lt;=1998,2/3-((($F22-1992)/3)-2)^2-0.5*((($F22-1992)/3)-2)^3,IF($F22&lt;=2001,2/3-((($F22-1992)/3)-2)^2+0.5*((($F22-1992)/3)-2)^3,IF($F22&lt;=2004,(4-(($F22-1992)/3))^3/6,0)))))</f>
        <v>0</v>
      </c>
      <c r="N22" s="16">
        <f>IF($F22&lt;=1995,0,IF($F22&lt;=1998,(($F22-1995)/3)^3/6,IF($F22&lt;=2001,2/3-((($F22-1995)/3)-2)^2-0.5*((($F22-1995)/3)-2)^3,IF($F22&lt;=2004,2/3-((($F22-1995)/3)-2)^2+0.5*((($F22-1995)/3)-2)^3,IF($F22&lt;=2007,(4-(($F22-1995)/3))^3/6,0)))))</f>
        <v>0</v>
      </c>
      <c r="O22" s="16">
        <f>IF($F22&lt;=1998,0,IF($F22&lt;=2001,(($F22-1998)/3)^3/6,IF($F22&lt;=2004,2/3-((($F22-1998)/3)-2)^2-0.5*((($F22-1998)/3)-2)^3,IF($F22&lt;=2007,2/3-((($F22-1998)/3)-2)^2+0.5*((($F22-1998)/3)-2)^3,IF($F22&lt;=2010,(4-(($F22-1998)/3))^3/6,0)))))</f>
        <v>0</v>
      </c>
      <c r="P22" s="16">
        <f>IF($F22&lt;=2001,0,IF($F22&lt;=2004,(($F22-2001)/3)^3/6,IF($F22&lt;=2007,2/3-((($F22-2001)/3)-2)^2-0.5*((($F22-2001)/3)-2)^3,IF($F22&lt;=2010,2/3-((($F22-2001)/3)-2)^2+0.5*((($F22-2001)/3)-2)^3,IF($F22&lt;=2013,(4-(($F22-2001)/3))^3/6,0)))))</f>
        <v>0.16666666666666699</v>
      </c>
      <c r="Q22" s="16">
        <f>IF($F22&lt;=2004,0,IF($F22&lt;=2007,(($F22-2004)/3)^3/6,IF($F22&lt;=2010,2/3-((($F22-2004)/3)-2)^2-0.5*((($F22-2004)/3)-2)^3,IF($F22&lt;=2013,2/3-((($F22-2004)/3)-2)^2+0.5*((($F22-2004)/3)-2)^3,IF($F22&lt;=2016,(4-(($F22-2004)/3))^3/6,0)))))</f>
        <v>0.66666666666666696</v>
      </c>
      <c r="R22" s="16">
        <f>IF($F22&lt;=2007,0,IF($F22&lt;=2010,(($F22-2007)/3)^3/6,IF($F22&lt;=2013,2/3-((($F22-2007)/3)-2)^2-0.5*((($F22-2007)/3)-2)^3,IF($F22&lt;=2016,2/3-((($F22-2007)/3)-2)^2+0.5*((($F22-2007)/3)-2)^3,IF($F22&lt;=2019,(4-(($F22-2007)/3))^3/6,0)))))</f>
        <v>0.16666666666666699</v>
      </c>
      <c r="S22" s="16">
        <f>IF($F22&lt;=2010,0,IF($F22&lt;=2013,(($F22-2010)/3)^3/6,IF($F22&lt;=2016,2/3-((($F22-2010)/3)-2)^2-0.5*((($F22-2010)/3)-2)^3,IF($F22&lt;=2019,2/3-((($F22-2010)/3)-2)^2+0.5*((($F22-2010)/3)-2)^3,IF($F22&lt;=2022,(4-(($F22-2010)/3))^3/6,0)))))</f>
        <v>0</v>
      </c>
      <c r="T22" s="16">
        <f>IF($F22&lt;=2013,0,IF($F22&lt;=2016,(($F22-2013)/3)^3/6,IF($F22&lt;=2019,2/3-((($F22-2013)/3)-2)^2-0.5*((($F22-2013)/3)-2)^3,IF($F22&lt;=2022,2/3-((($F22-2013)/3)-2)^2+0.5*((($F22-2013)/3)-2)^3,IF($F22&lt;=2025,(4-(($F22-2013)/3))^3/6,0)))))</f>
        <v>0</v>
      </c>
      <c r="U22" s="16">
        <f>IF($F22&lt;=2016,0,IF($F22&lt;=2019,(($F22-2016)/3)^3/6,IF($F22&lt;=2022,2/3-((($F22-2016)/3)-2)^2-0.5*((($F22-2016)/3)-2)^3,IF($F22&lt;=2025,2/3-((($F22-2016)/3)-2)^2+0.5*((($F22-2016)/3)-2)^3,IF($F22&lt;=2028,(4-(($F22-2016)/3))^3/6,0)))))</f>
        <v>0</v>
      </c>
    </row>
    <row r="23">
      <c r="A23" s="19" t="n"/>
      <c r="F23" s="18" t="n">
        <v>2011</v>
      </c>
      <c r="G23" s="16">
        <f>'M_70_t'!B18</f>
        <v>0.00052495861425407497</v>
      </c>
      <c r="H23" s="16">
        <f>SUMPRODUCT(K23:U23,$K$5:$U$5)</f>
        <v>-7.9067996006228398</v>
      </c>
      <c r="I23" s="16">
        <f>EXP(H23)</f>
        <v>0.00036823118364176402</v>
      </c>
      <c r="J23" s="15" t="inlineStr">
        <is>
          <t>Projected</t>
        </is>
      </c>
      <c r="K23" s="16">
        <f>IF($F23&lt;=1986,0,IF($F23&lt;=1989,(($F23-1986)/3)^3/6,IF($F23&lt;=1992,2/3-((($F23-1986)/3)-2)^2-0.5*((($F23-1986)/3)-2)^3,IF($F23&lt;=1995,2/3-((($F23-1986)/3)-2)^2+0.5*((($F23-1986)/3)-2)^3,IF($F23&lt;=1998,(4-(($F23-1986)/3))^3/6,0)))))</f>
        <v>0</v>
      </c>
      <c r="L23" s="16">
        <f>IF($F23&lt;=1989,0,IF($F23&lt;=1992,(($F23-1989)/3)^3/6,IF($F23&lt;=1995,2/3-((($F23-1989)/3)-2)^2-0.5*((($F23-1989)/3)-2)^3,IF($F23&lt;=1998,2/3-((($F23-1989)/3)-2)^2+0.5*((($F23-1989)/3)-2)^3,IF($F23&lt;=2001,(4-(($F23-1989)/3))^3/6,0)))))</f>
        <v>0</v>
      </c>
      <c r="M23" s="16">
        <f>IF($F23&lt;=1992,0,IF($F23&lt;=1995,(($F23-1992)/3)^3/6,IF($F23&lt;=1998,2/3-((($F23-1992)/3)-2)^2-0.5*((($F23-1992)/3)-2)^3,IF($F23&lt;=2001,2/3-((($F23-1992)/3)-2)^2+0.5*((($F23-1992)/3)-2)^3,IF($F23&lt;=2004,(4-(($F23-1992)/3))^3/6,0)))))</f>
        <v>0</v>
      </c>
      <c r="N23" s="16">
        <f>IF($F23&lt;=1995,0,IF($F23&lt;=1998,(($F23-1995)/3)^3/6,IF($F23&lt;=2001,2/3-((($F23-1995)/3)-2)^2-0.5*((($F23-1995)/3)-2)^3,IF($F23&lt;=2004,2/3-((($F23-1995)/3)-2)^2+0.5*((($F23-1995)/3)-2)^3,IF($F23&lt;=2007,(4-(($F23-1995)/3))^3/6,0)))))</f>
        <v>0</v>
      </c>
      <c r="O23" s="16">
        <f>IF($F23&lt;=1998,0,IF($F23&lt;=2001,(($F23-1998)/3)^3/6,IF($F23&lt;=2004,2/3-((($F23-1998)/3)-2)^2-0.5*((($F23-1998)/3)-2)^3,IF($F23&lt;=2007,2/3-((($F23-1998)/3)-2)^2+0.5*((($F23-1998)/3)-2)^3,IF($F23&lt;=2010,(4-(($F23-1998)/3))^3/6,0)))))</f>
        <v>0</v>
      </c>
      <c r="P23" s="16">
        <f>IF($F23&lt;=2001,0,IF($F23&lt;=2004,(($F23-2001)/3)^3/6,IF($F23&lt;=2007,2/3-((($F23-2001)/3)-2)^2-0.5*((($F23-2001)/3)-2)^3,IF($F23&lt;=2010,2/3-((($F23-2001)/3)-2)^2+0.5*((($F23-2001)/3)-2)^3,IF($F23&lt;=2013,(4-(($F23-2001)/3))^3/6,0)))))</f>
        <v>0.049382716049382699</v>
      </c>
      <c r="Q23" s="16">
        <f>IF($F23&lt;=2004,0,IF($F23&lt;=2007,(($F23-2004)/3)^3/6,IF($F23&lt;=2010,2/3-((($F23-2004)/3)-2)^2-0.5*((($F23-2004)/3)-2)^3,IF($F23&lt;=2013,2/3-((($F23-2004)/3)-2)^2+0.5*((($F23-2004)/3)-2)^3,IF($F23&lt;=2016,(4-(($F23-2004)/3))^3/6,0)))))</f>
        <v>0.57407407407407396</v>
      </c>
      <c r="R23" s="16">
        <f>IF($F23&lt;=2007,0,IF($F23&lt;=2010,(($F23-2007)/3)^3/6,IF($F23&lt;=2013,2/3-((($F23-2007)/3)-2)^2-0.5*((($F23-2007)/3)-2)^3,IF($F23&lt;=2016,2/3-((($F23-2007)/3)-2)^2+0.5*((($F23-2007)/3)-2)^3,IF($F23&lt;=2019,(4-(($F23-2007)/3))^3/6,0)))))</f>
        <v>0.37037037037037002</v>
      </c>
      <c r="S23" s="16">
        <f>IF($F23&lt;=2010,0,IF($F23&lt;=2013,(($F23-2010)/3)^3/6,IF($F23&lt;=2016,2/3-((($F23-2010)/3)-2)^2-0.5*((($F23-2010)/3)-2)^3,IF($F23&lt;=2019,2/3-((($F23-2010)/3)-2)^2+0.5*((($F23-2010)/3)-2)^3,IF($F23&lt;=2022,(4-(($F23-2010)/3))^3/6,0)))))</f>
        <v>0.00617283950617284</v>
      </c>
      <c r="T23" s="16">
        <f>IF($F23&lt;=2013,0,IF($F23&lt;=2016,(($F23-2013)/3)^3/6,IF($F23&lt;=2019,2/3-((($F23-2013)/3)-2)^2-0.5*((($F23-2013)/3)-2)^3,IF($F23&lt;=2022,2/3-((($F23-2013)/3)-2)^2+0.5*((($F23-2013)/3)-2)^3,IF($F23&lt;=2025,(4-(($F23-2013)/3))^3/6,0)))))</f>
        <v>0</v>
      </c>
      <c r="U23" s="16">
        <f>IF($F23&lt;=2016,0,IF($F23&lt;=2019,(($F23-2016)/3)^3/6,IF($F23&lt;=2022,2/3-((($F23-2016)/3)-2)^2-0.5*((($F23-2016)/3)-2)^3,IF($F23&lt;=2025,2/3-((($F23-2016)/3)-2)^2+0.5*((($F23-2016)/3)-2)^3,IF($F23&lt;=2028,(4-(($F23-2016)/3))^3/6,0)))))</f>
        <v>0</v>
      </c>
    </row>
    <row r="24">
      <c r="A24" s="19" t="n"/>
      <c r="F24" s="18" t="n">
        <v>2012</v>
      </c>
      <c r="G24" s="16">
        <f>'M_70_t'!B19</f>
        <v>0.00044495933160701001</v>
      </c>
      <c r="H24" s="16">
        <f>SUMPRODUCT(K24:U24,$K$5:$U$5)</f>
        <v>-7.9832934345371998</v>
      </c>
      <c r="I24" s="16">
        <f>EXP(H24)</f>
        <v>0.00034111413343104399</v>
      </c>
      <c r="J24" s="15" t="inlineStr">
        <is>
          <t>Projected</t>
        </is>
      </c>
      <c r="K24" s="16">
        <f>IF($F24&lt;=1986,0,IF($F24&lt;=1989,(($F24-1986)/3)^3/6,IF($F24&lt;=1992,2/3-((($F24-1986)/3)-2)^2-0.5*((($F24-1986)/3)-2)^3,IF($F24&lt;=1995,2/3-((($F24-1986)/3)-2)^2+0.5*((($F24-1986)/3)-2)^3,IF($F24&lt;=1998,(4-(($F24-1986)/3))^3/6,0)))))</f>
        <v>0</v>
      </c>
      <c r="L24" s="16">
        <f>IF($F24&lt;=1989,0,IF($F24&lt;=1992,(($F24-1989)/3)^3/6,IF($F24&lt;=1995,2/3-((($F24-1989)/3)-2)^2-0.5*((($F24-1989)/3)-2)^3,IF($F24&lt;=1998,2/3-((($F24-1989)/3)-2)^2+0.5*((($F24-1989)/3)-2)^3,IF($F24&lt;=2001,(4-(($F24-1989)/3))^3/6,0)))))</f>
        <v>0</v>
      </c>
      <c r="M24" s="16">
        <f>IF($F24&lt;=1992,0,IF($F24&lt;=1995,(($F24-1992)/3)^3/6,IF($F24&lt;=1998,2/3-((($F24-1992)/3)-2)^2-0.5*((($F24-1992)/3)-2)^3,IF($F24&lt;=2001,2/3-((($F24-1992)/3)-2)^2+0.5*((($F24-1992)/3)-2)^3,IF($F24&lt;=2004,(4-(($F24-1992)/3))^3/6,0)))))</f>
        <v>0</v>
      </c>
      <c r="N24" s="16">
        <f>IF($F24&lt;=1995,0,IF($F24&lt;=1998,(($F24-1995)/3)^3/6,IF($F24&lt;=2001,2/3-((($F24-1995)/3)-2)^2-0.5*((($F24-1995)/3)-2)^3,IF($F24&lt;=2004,2/3-((($F24-1995)/3)-2)^2+0.5*((($F24-1995)/3)-2)^3,IF($F24&lt;=2007,(4-(($F24-1995)/3))^3/6,0)))))</f>
        <v>0</v>
      </c>
      <c r="O24" s="16">
        <f>IF($F24&lt;=1998,0,IF($F24&lt;=2001,(($F24-1998)/3)^3/6,IF($F24&lt;=2004,2/3-((($F24-1998)/3)-2)^2-0.5*((($F24-1998)/3)-2)^3,IF($F24&lt;=2007,2/3-((($F24-1998)/3)-2)^2+0.5*((($F24-1998)/3)-2)^3,IF($F24&lt;=2010,(4-(($F24-1998)/3))^3/6,0)))))</f>
        <v>0</v>
      </c>
      <c r="P24" s="16">
        <f>IF($F24&lt;=2001,0,IF($F24&lt;=2004,(($F24-2001)/3)^3/6,IF($F24&lt;=2007,2/3-((($F24-2001)/3)-2)^2-0.5*((($F24-2001)/3)-2)^3,IF($F24&lt;=2010,2/3-((($F24-2001)/3)-2)^2+0.5*((($F24-2001)/3)-2)^3,IF($F24&lt;=2013,(4-(($F24-2001)/3))^3/6,0)))))</f>
        <v>0.00617283950617284</v>
      </c>
      <c r="Q24" s="16">
        <f>IF($F24&lt;=2004,0,IF($F24&lt;=2007,(($F24-2004)/3)^3/6,IF($F24&lt;=2010,2/3-((($F24-2004)/3)-2)^2-0.5*((($F24-2004)/3)-2)^3,IF($F24&lt;=2013,2/3-((($F24-2004)/3)-2)^2+0.5*((($F24-2004)/3)-2)^3,IF($F24&lt;=2016,(4-(($F24-2004)/3))^3/6,0)))))</f>
        <v>0.37037037037037002</v>
      </c>
      <c r="R24" s="16">
        <f>IF($F24&lt;=2007,0,IF($F24&lt;=2010,(($F24-2007)/3)^3/6,IF($F24&lt;=2013,2/3-((($F24-2007)/3)-2)^2-0.5*((($F24-2007)/3)-2)^3,IF($F24&lt;=2016,2/3-((($F24-2007)/3)-2)^2+0.5*((($F24-2007)/3)-2)^3,IF($F24&lt;=2019,(4-(($F24-2007)/3))^3/6,0)))))</f>
        <v>0.57407407407407396</v>
      </c>
      <c r="S24" s="16">
        <f>IF($F24&lt;=2010,0,IF($F24&lt;=2013,(($F24-2010)/3)^3/6,IF($F24&lt;=2016,2/3-((($F24-2010)/3)-2)^2-0.5*((($F24-2010)/3)-2)^3,IF($F24&lt;=2019,2/3-((($F24-2010)/3)-2)^2+0.5*((($F24-2010)/3)-2)^3,IF($F24&lt;=2022,(4-(($F24-2010)/3))^3/6,0)))))</f>
        <v>0.049382716049382699</v>
      </c>
      <c r="T24" s="16">
        <f>IF($F24&lt;=2013,0,IF($F24&lt;=2016,(($F24-2013)/3)^3/6,IF($F24&lt;=2019,2/3-((($F24-2013)/3)-2)^2-0.5*((($F24-2013)/3)-2)^3,IF($F24&lt;=2022,2/3-((($F24-2013)/3)-2)^2+0.5*((($F24-2013)/3)-2)^3,IF($F24&lt;=2025,(4-(($F24-2013)/3))^3/6,0)))))</f>
        <v>0</v>
      </c>
      <c r="U24" s="16">
        <f>IF($F24&lt;=2016,0,IF($F24&lt;=2019,(($F24-2016)/3)^3/6,IF($F24&lt;=2022,2/3-((($F24-2016)/3)-2)^2-0.5*((($F24-2016)/3)-2)^3,IF($F24&lt;=2025,2/3-((($F24-2016)/3)-2)^2+0.5*((($F24-2016)/3)-2)^3,IF($F24&lt;=2028,(4-(($F24-2016)/3))^3/6,0)))))</f>
        <v>0</v>
      </c>
    </row>
    <row r="25">
      <c r="A25" s="19" t="n"/>
      <c r="F25" s="18" t="n">
        <v>2013</v>
      </c>
      <c r="G25" s="16">
        <f>'M_70_t'!B20</f>
        <v>0.00041112307243118301</v>
      </c>
      <c r="H25" s="16">
        <f>SUMPRODUCT(K25:U25,$K$5:$U$5)</f>
        <v>-8.0597872684515703</v>
      </c>
      <c r="I25" s="16">
        <f>EXP(H25)</f>
        <v>0.00031599402004913498</v>
      </c>
      <c r="J25" s="15" t="inlineStr">
        <is>
          <t>Projected</t>
        </is>
      </c>
      <c r="K25" s="16">
        <f>IF($F25&lt;=1986,0,IF($F25&lt;=1989,(($F25-1986)/3)^3/6,IF($F25&lt;=1992,2/3-((($F25-1986)/3)-2)^2-0.5*((($F25-1986)/3)-2)^3,IF($F25&lt;=1995,2/3-((($F25-1986)/3)-2)^2+0.5*((($F25-1986)/3)-2)^3,IF($F25&lt;=1998,(4-(($F25-1986)/3))^3/6,0)))))</f>
        <v>0</v>
      </c>
      <c r="L25" s="16">
        <f>IF($F25&lt;=1989,0,IF($F25&lt;=1992,(($F25-1989)/3)^3/6,IF($F25&lt;=1995,2/3-((($F25-1989)/3)-2)^2-0.5*((($F25-1989)/3)-2)^3,IF($F25&lt;=1998,2/3-((($F25-1989)/3)-2)^2+0.5*((($F25-1989)/3)-2)^3,IF($F25&lt;=2001,(4-(($F25-1989)/3))^3/6,0)))))</f>
        <v>0</v>
      </c>
      <c r="M25" s="16">
        <f>IF($F25&lt;=1992,0,IF($F25&lt;=1995,(($F25-1992)/3)^3/6,IF($F25&lt;=1998,2/3-((($F25-1992)/3)-2)^2-0.5*((($F25-1992)/3)-2)^3,IF($F25&lt;=2001,2/3-((($F25-1992)/3)-2)^2+0.5*((($F25-1992)/3)-2)^3,IF($F25&lt;=2004,(4-(($F25-1992)/3))^3/6,0)))))</f>
        <v>0</v>
      </c>
      <c r="N25" s="16">
        <f>IF($F25&lt;=1995,0,IF($F25&lt;=1998,(($F25-1995)/3)^3/6,IF($F25&lt;=2001,2/3-((($F25-1995)/3)-2)^2-0.5*((($F25-1995)/3)-2)^3,IF($F25&lt;=2004,2/3-((($F25-1995)/3)-2)^2+0.5*((($F25-1995)/3)-2)^3,IF($F25&lt;=2007,(4-(($F25-1995)/3))^3/6,0)))))</f>
        <v>0</v>
      </c>
      <c r="O25" s="16">
        <f>IF($F25&lt;=1998,0,IF($F25&lt;=2001,(($F25-1998)/3)^3/6,IF($F25&lt;=2004,2/3-((($F25-1998)/3)-2)^2-0.5*((($F25-1998)/3)-2)^3,IF($F25&lt;=2007,2/3-((($F25-1998)/3)-2)^2+0.5*((($F25-1998)/3)-2)^3,IF($F25&lt;=2010,(4-(($F25-1998)/3))^3/6,0)))))</f>
        <v>0</v>
      </c>
      <c r="P25" s="16">
        <f>IF($F25&lt;=2001,0,IF($F25&lt;=2004,(($F25-2001)/3)^3/6,IF($F25&lt;=2007,2/3-((($F25-2001)/3)-2)^2-0.5*((($F25-2001)/3)-2)^3,IF($F25&lt;=2010,2/3-((($F25-2001)/3)-2)^2+0.5*((($F25-2001)/3)-2)^3,IF($F25&lt;=2013,(4-(($F25-2001)/3))^3/6,0)))))</f>
        <v>0</v>
      </c>
      <c r="Q25" s="16">
        <f>IF($F25&lt;=2004,0,IF($F25&lt;=2007,(($F25-2004)/3)^3/6,IF($F25&lt;=2010,2/3-((($F25-2004)/3)-2)^2-0.5*((($F25-2004)/3)-2)^3,IF($F25&lt;=2013,2/3-((($F25-2004)/3)-2)^2+0.5*((($F25-2004)/3)-2)^3,IF($F25&lt;=2016,(4-(($F25-2004)/3))^3/6,0)))))</f>
        <v>0.16666666666666699</v>
      </c>
      <c r="R25" s="16">
        <f>IF($F25&lt;=2007,0,IF($F25&lt;=2010,(($F25-2007)/3)^3/6,IF($F25&lt;=2013,2/3-((($F25-2007)/3)-2)^2-0.5*((($F25-2007)/3)-2)^3,IF($F25&lt;=2016,2/3-((($F25-2007)/3)-2)^2+0.5*((($F25-2007)/3)-2)^3,IF($F25&lt;=2019,(4-(($F25-2007)/3))^3/6,0)))))</f>
        <v>0.66666666666666696</v>
      </c>
      <c r="S25" s="16">
        <f>IF($F25&lt;=2010,0,IF($F25&lt;=2013,(($F25-2010)/3)^3/6,IF($F25&lt;=2016,2/3-((($F25-2010)/3)-2)^2-0.5*((($F25-2010)/3)-2)^3,IF($F25&lt;=2019,2/3-((($F25-2010)/3)-2)^2+0.5*((($F25-2010)/3)-2)^3,IF($F25&lt;=2022,(4-(($F25-2010)/3))^3/6,0)))))</f>
        <v>0.16666666666666699</v>
      </c>
      <c r="T25" s="16">
        <f>IF($F25&lt;=2013,0,IF($F25&lt;=2016,(($F25-2013)/3)^3/6,IF($F25&lt;=2019,2/3-((($F25-2013)/3)-2)^2-0.5*((($F25-2013)/3)-2)^3,IF($F25&lt;=2022,2/3-((($F25-2013)/3)-2)^2+0.5*((($F25-2013)/3)-2)^3,IF($F25&lt;=2025,(4-(($F25-2013)/3))^3/6,0)))))</f>
        <v>0</v>
      </c>
      <c r="U25" s="16">
        <f>IF($F25&lt;=2016,0,IF($F25&lt;=2019,(($F25-2016)/3)^3/6,IF($F25&lt;=2022,2/3-((($F25-2016)/3)-2)^2-0.5*((($F25-2016)/3)-2)^3,IF($F25&lt;=2025,2/3-((($F25-2016)/3)-2)^2+0.5*((($F25-2016)/3)-2)^3,IF($F25&lt;=2028,(4-(($F25-2016)/3))^3/6,0)))))</f>
        <v>0</v>
      </c>
    </row>
    <row r="26">
      <c r="A26" s="19" t="n"/>
      <c r="F26" s="18" t="n">
        <v>2014</v>
      </c>
      <c r="G26" s="16">
        <f>'M_70_t'!B21</f>
        <v>0.00044881581519445602</v>
      </c>
      <c r="H26" s="16">
        <f>SUMPRODUCT(K26:U26,$K$5:$U$5)</f>
        <v>-8.1362811023659294</v>
      </c>
      <c r="I26" s="16">
        <f>EXP(H26)</f>
        <v>0.00029272378632472598</v>
      </c>
      <c r="J26" s="15" t="inlineStr">
        <is>
          <t>Projected</t>
        </is>
      </c>
      <c r="K26" s="16">
        <f>IF($F26&lt;=1986,0,IF($F26&lt;=1989,(($F26-1986)/3)^3/6,IF($F26&lt;=1992,2/3-((($F26-1986)/3)-2)^2-0.5*((($F26-1986)/3)-2)^3,IF($F26&lt;=1995,2/3-((($F26-1986)/3)-2)^2+0.5*((($F26-1986)/3)-2)^3,IF($F26&lt;=1998,(4-(($F26-1986)/3))^3/6,0)))))</f>
        <v>0</v>
      </c>
      <c r="L26" s="16">
        <f>IF($F26&lt;=1989,0,IF($F26&lt;=1992,(($F26-1989)/3)^3/6,IF($F26&lt;=1995,2/3-((($F26-1989)/3)-2)^2-0.5*((($F26-1989)/3)-2)^3,IF($F26&lt;=1998,2/3-((($F26-1989)/3)-2)^2+0.5*((($F26-1989)/3)-2)^3,IF($F26&lt;=2001,(4-(($F26-1989)/3))^3/6,0)))))</f>
        <v>0</v>
      </c>
      <c r="M26" s="16">
        <f>IF($F26&lt;=1992,0,IF($F26&lt;=1995,(($F26-1992)/3)^3/6,IF($F26&lt;=1998,2/3-((($F26-1992)/3)-2)^2-0.5*((($F26-1992)/3)-2)^3,IF($F26&lt;=2001,2/3-((($F26-1992)/3)-2)^2+0.5*((($F26-1992)/3)-2)^3,IF($F26&lt;=2004,(4-(($F26-1992)/3))^3/6,0)))))</f>
        <v>0</v>
      </c>
      <c r="N26" s="16">
        <f>IF($F26&lt;=1995,0,IF($F26&lt;=1998,(($F26-1995)/3)^3/6,IF($F26&lt;=2001,2/3-((($F26-1995)/3)-2)^2-0.5*((($F26-1995)/3)-2)^3,IF($F26&lt;=2004,2/3-((($F26-1995)/3)-2)^2+0.5*((($F26-1995)/3)-2)^3,IF($F26&lt;=2007,(4-(($F26-1995)/3))^3/6,0)))))</f>
        <v>0</v>
      </c>
      <c r="O26" s="16">
        <f>IF($F26&lt;=1998,0,IF($F26&lt;=2001,(($F26-1998)/3)^3/6,IF($F26&lt;=2004,2/3-((($F26-1998)/3)-2)^2-0.5*((($F26-1998)/3)-2)^3,IF($F26&lt;=2007,2/3-((($F26-1998)/3)-2)^2+0.5*((($F26-1998)/3)-2)^3,IF($F26&lt;=2010,(4-(($F26-1998)/3))^3/6,0)))))</f>
        <v>0</v>
      </c>
      <c r="P26" s="16">
        <f>IF($F26&lt;=2001,0,IF($F26&lt;=2004,(($F26-2001)/3)^3/6,IF($F26&lt;=2007,2/3-((($F26-2001)/3)-2)^2-0.5*((($F26-2001)/3)-2)^3,IF($F26&lt;=2010,2/3-((($F26-2001)/3)-2)^2+0.5*((($F26-2001)/3)-2)^3,IF($F26&lt;=2013,(4-(($F26-2001)/3))^3/6,0)))))</f>
        <v>0</v>
      </c>
      <c r="Q26" s="16">
        <f>IF($F26&lt;=2004,0,IF($F26&lt;=2007,(($F26-2004)/3)^3/6,IF($F26&lt;=2010,2/3-((($F26-2004)/3)-2)^2-0.5*((($F26-2004)/3)-2)^3,IF($F26&lt;=2013,2/3-((($F26-2004)/3)-2)^2+0.5*((($F26-2004)/3)-2)^3,IF($F26&lt;=2016,(4-(($F26-2004)/3))^3/6,0)))))</f>
        <v>0.049382716049382699</v>
      </c>
      <c r="R26" s="16">
        <f>IF($F26&lt;=2007,0,IF($F26&lt;=2010,(($F26-2007)/3)^3/6,IF($F26&lt;=2013,2/3-((($F26-2007)/3)-2)^2-0.5*((($F26-2007)/3)-2)^3,IF($F26&lt;=2016,2/3-((($F26-2007)/3)-2)^2+0.5*((($F26-2007)/3)-2)^3,IF($F26&lt;=2019,(4-(($F26-2007)/3))^3/6,0)))))</f>
        <v>0.57407407407407396</v>
      </c>
      <c r="S26" s="16">
        <f>IF($F26&lt;=2010,0,IF($F26&lt;=2013,(($F26-2010)/3)^3/6,IF($F26&lt;=2016,2/3-((($F26-2010)/3)-2)^2-0.5*((($F26-2010)/3)-2)^3,IF($F26&lt;=2019,2/3-((($F26-2010)/3)-2)^2+0.5*((($F26-2010)/3)-2)^3,IF($F26&lt;=2022,(4-(($F26-2010)/3))^3/6,0)))))</f>
        <v>0.37037037037037002</v>
      </c>
      <c r="T26" s="16">
        <f>IF($F26&lt;=2013,0,IF($F26&lt;=2016,(($F26-2013)/3)^3/6,IF($F26&lt;=2019,2/3-((($F26-2013)/3)-2)^2-0.5*((($F26-2013)/3)-2)^3,IF($F26&lt;=2022,2/3-((($F26-2013)/3)-2)^2+0.5*((($F26-2013)/3)-2)^3,IF($F26&lt;=2025,(4-(($F26-2013)/3))^3/6,0)))))</f>
        <v>0.00617283950617284</v>
      </c>
      <c r="U26" s="16">
        <f>IF($F26&lt;=2016,0,IF($F26&lt;=2019,(($F26-2016)/3)^3/6,IF($F26&lt;=2022,2/3-((($F26-2016)/3)-2)^2-0.5*((($F26-2016)/3)-2)^3,IF($F26&lt;=2025,2/3-((($F26-2016)/3)-2)^2+0.5*((($F26-2016)/3)-2)^3,IF($F26&lt;=2028,(4-(($F26-2016)/3))^3/6,0)))))</f>
        <v>0</v>
      </c>
    </row>
    <row r="27">
      <c r="A27" s="19" t="n"/>
      <c r="F27" s="18" t="n">
        <v>2015</v>
      </c>
      <c r="G27" s="16">
        <f>'M_70_t'!B22</f>
        <v>0.00040681103089843998</v>
      </c>
      <c r="H27" s="16">
        <f>SUMPRODUCT(K27:U27,$K$5:$U$5)</f>
        <v>-8.2127749362802902</v>
      </c>
      <c r="I27" s="16">
        <f>EXP(H27)</f>
        <v>0.00027116720457861902</v>
      </c>
      <c r="J27" s="15" t="inlineStr">
        <is>
          <t>Projected</t>
        </is>
      </c>
      <c r="K27" s="16">
        <f>IF($F27&lt;=1986,0,IF($F27&lt;=1989,(($F27-1986)/3)^3/6,IF($F27&lt;=1992,2/3-((($F27-1986)/3)-2)^2-0.5*((($F27-1986)/3)-2)^3,IF($F27&lt;=1995,2/3-((($F27-1986)/3)-2)^2+0.5*((($F27-1986)/3)-2)^3,IF($F27&lt;=1998,(4-(($F27-1986)/3))^3/6,0)))))</f>
        <v>0</v>
      </c>
      <c r="L27" s="16">
        <f>IF($F27&lt;=1989,0,IF($F27&lt;=1992,(($F27-1989)/3)^3/6,IF($F27&lt;=1995,2/3-((($F27-1989)/3)-2)^2-0.5*((($F27-1989)/3)-2)^3,IF($F27&lt;=1998,2/3-((($F27-1989)/3)-2)^2+0.5*((($F27-1989)/3)-2)^3,IF($F27&lt;=2001,(4-(($F27-1989)/3))^3/6,0)))))</f>
        <v>0</v>
      </c>
      <c r="M27" s="16">
        <f>IF($F27&lt;=1992,0,IF($F27&lt;=1995,(($F27-1992)/3)^3/6,IF($F27&lt;=1998,2/3-((($F27-1992)/3)-2)^2-0.5*((($F27-1992)/3)-2)^3,IF($F27&lt;=2001,2/3-((($F27-1992)/3)-2)^2+0.5*((($F27-1992)/3)-2)^3,IF($F27&lt;=2004,(4-(($F27-1992)/3))^3/6,0)))))</f>
        <v>0</v>
      </c>
      <c r="N27" s="16">
        <f>IF($F27&lt;=1995,0,IF($F27&lt;=1998,(($F27-1995)/3)^3/6,IF($F27&lt;=2001,2/3-((($F27-1995)/3)-2)^2-0.5*((($F27-1995)/3)-2)^3,IF($F27&lt;=2004,2/3-((($F27-1995)/3)-2)^2+0.5*((($F27-1995)/3)-2)^3,IF($F27&lt;=2007,(4-(($F27-1995)/3))^3/6,0)))))</f>
        <v>0</v>
      </c>
      <c r="O27" s="16">
        <f>IF($F27&lt;=1998,0,IF($F27&lt;=2001,(($F27-1998)/3)^3/6,IF($F27&lt;=2004,2/3-((($F27-1998)/3)-2)^2-0.5*((($F27-1998)/3)-2)^3,IF($F27&lt;=2007,2/3-((($F27-1998)/3)-2)^2+0.5*((($F27-1998)/3)-2)^3,IF($F27&lt;=2010,(4-(($F27-1998)/3))^3/6,0)))))</f>
        <v>0</v>
      </c>
      <c r="P27" s="16">
        <f>IF($F27&lt;=2001,0,IF($F27&lt;=2004,(($F27-2001)/3)^3/6,IF($F27&lt;=2007,2/3-((($F27-2001)/3)-2)^2-0.5*((($F27-2001)/3)-2)^3,IF($F27&lt;=2010,2/3-((($F27-2001)/3)-2)^2+0.5*((($F27-2001)/3)-2)^3,IF($F27&lt;=2013,(4-(($F27-2001)/3))^3/6,0)))))</f>
        <v>0</v>
      </c>
      <c r="Q27" s="16">
        <f>IF($F27&lt;=2004,0,IF($F27&lt;=2007,(($F27-2004)/3)^3/6,IF($F27&lt;=2010,2/3-((($F27-2004)/3)-2)^2-0.5*((($F27-2004)/3)-2)^3,IF($F27&lt;=2013,2/3-((($F27-2004)/3)-2)^2+0.5*((($F27-2004)/3)-2)^3,IF($F27&lt;=2016,(4-(($F27-2004)/3))^3/6,0)))))</f>
        <v>0.00617283950617284</v>
      </c>
      <c r="R27" s="16">
        <f>IF($F27&lt;=2007,0,IF($F27&lt;=2010,(($F27-2007)/3)^3/6,IF($F27&lt;=2013,2/3-((($F27-2007)/3)-2)^2-0.5*((($F27-2007)/3)-2)^3,IF($F27&lt;=2016,2/3-((($F27-2007)/3)-2)^2+0.5*((($F27-2007)/3)-2)^3,IF($F27&lt;=2019,(4-(($F27-2007)/3))^3/6,0)))))</f>
        <v>0.37037037037037002</v>
      </c>
      <c r="S27" s="16">
        <f>IF($F27&lt;=2010,0,IF($F27&lt;=2013,(($F27-2010)/3)^3/6,IF($F27&lt;=2016,2/3-((($F27-2010)/3)-2)^2-0.5*((($F27-2010)/3)-2)^3,IF($F27&lt;=2019,2/3-((($F27-2010)/3)-2)^2+0.5*((($F27-2010)/3)-2)^3,IF($F27&lt;=2022,(4-(($F27-2010)/3))^3/6,0)))))</f>
        <v>0.57407407407407396</v>
      </c>
      <c r="T27" s="16">
        <f>IF($F27&lt;=2013,0,IF($F27&lt;=2016,(($F27-2013)/3)^3/6,IF($F27&lt;=2019,2/3-((($F27-2013)/3)-2)^2-0.5*((($F27-2013)/3)-2)^3,IF($F27&lt;=2022,2/3-((($F27-2013)/3)-2)^2+0.5*((($F27-2013)/3)-2)^3,IF($F27&lt;=2025,(4-(($F27-2013)/3))^3/6,0)))))</f>
        <v>0.049382716049382699</v>
      </c>
      <c r="U27" s="16">
        <f>IF($F27&lt;=2016,0,IF($F27&lt;=2019,(($F27-2016)/3)^3/6,IF($F27&lt;=2022,2/3-((($F27-2016)/3)-2)^2-0.5*((($F27-2016)/3)-2)^3,IF($F27&lt;=2025,2/3-((($F27-2016)/3)-2)^2+0.5*((($F27-2016)/3)-2)^3,IF($F27&lt;=2028,(4-(($F27-2016)/3))^3/6,0)))))</f>
        <v>0</v>
      </c>
    </row>
    <row r="28">
      <c r="A28" s="19" t="n"/>
      <c r="F28" s="18" t="n">
        <v>2016</v>
      </c>
      <c r="G28" s="16">
        <f>'M_70_t'!B23</f>
        <v>0.00049105417911107405</v>
      </c>
      <c r="H28" s="16">
        <f>SUMPRODUCT(K28:U28,$K$5:$U$5)</f>
        <v>-8.2892687701946599</v>
      </c>
      <c r="I28" s="16">
        <f>EXP(H28)</f>
        <v>0.00025119807912504902</v>
      </c>
      <c r="J28" s="15" t="inlineStr">
        <is>
          <t>Projected</t>
        </is>
      </c>
      <c r="K28" s="16">
        <f>IF($F28&lt;=1986,0,IF($F28&lt;=1989,(($F28-1986)/3)^3/6,IF($F28&lt;=1992,2/3-((($F28-1986)/3)-2)^2-0.5*((($F28-1986)/3)-2)^3,IF($F28&lt;=1995,2/3-((($F28-1986)/3)-2)^2+0.5*((($F28-1986)/3)-2)^3,IF($F28&lt;=1998,(4-(($F28-1986)/3))^3/6,0)))))</f>
        <v>0</v>
      </c>
      <c r="L28" s="16">
        <f>IF($F28&lt;=1989,0,IF($F28&lt;=1992,(($F28-1989)/3)^3/6,IF($F28&lt;=1995,2/3-((($F28-1989)/3)-2)^2-0.5*((($F28-1989)/3)-2)^3,IF($F28&lt;=1998,2/3-((($F28-1989)/3)-2)^2+0.5*((($F28-1989)/3)-2)^3,IF($F28&lt;=2001,(4-(($F28-1989)/3))^3/6,0)))))</f>
        <v>0</v>
      </c>
      <c r="M28" s="16">
        <f>IF($F28&lt;=1992,0,IF($F28&lt;=1995,(($F28-1992)/3)^3/6,IF($F28&lt;=1998,2/3-((($F28-1992)/3)-2)^2-0.5*((($F28-1992)/3)-2)^3,IF($F28&lt;=2001,2/3-((($F28-1992)/3)-2)^2+0.5*((($F28-1992)/3)-2)^3,IF($F28&lt;=2004,(4-(($F28-1992)/3))^3/6,0)))))</f>
        <v>0</v>
      </c>
      <c r="N28" s="16">
        <f>IF($F28&lt;=1995,0,IF($F28&lt;=1998,(($F28-1995)/3)^3/6,IF($F28&lt;=2001,2/3-((($F28-1995)/3)-2)^2-0.5*((($F28-1995)/3)-2)^3,IF($F28&lt;=2004,2/3-((($F28-1995)/3)-2)^2+0.5*((($F28-1995)/3)-2)^3,IF($F28&lt;=2007,(4-(($F28-1995)/3))^3/6,0)))))</f>
        <v>0</v>
      </c>
      <c r="O28" s="16">
        <f>IF($F28&lt;=1998,0,IF($F28&lt;=2001,(($F28-1998)/3)^3/6,IF($F28&lt;=2004,2/3-((($F28-1998)/3)-2)^2-0.5*((($F28-1998)/3)-2)^3,IF($F28&lt;=2007,2/3-((($F28-1998)/3)-2)^2+0.5*((($F28-1998)/3)-2)^3,IF($F28&lt;=2010,(4-(($F28-1998)/3))^3/6,0)))))</f>
        <v>0</v>
      </c>
      <c r="P28" s="16">
        <f>IF($F28&lt;=2001,0,IF($F28&lt;=2004,(($F28-2001)/3)^3/6,IF($F28&lt;=2007,2/3-((($F28-2001)/3)-2)^2-0.5*((($F28-2001)/3)-2)^3,IF($F28&lt;=2010,2/3-((($F28-2001)/3)-2)^2+0.5*((($F28-2001)/3)-2)^3,IF($F28&lt;=2013,(4-(($F28-2001)/3))^3/6,0)))))</f>
        <v>0</v>
      </c>
      <c r="Q28" s="16">
        <f>IF($F28&lt;=2004,0,IF($F28&lt;=2007,(($F28-2004)/3)^3/6,IF($F28&lt;=2010,2/3-((($F28-2004)/3)-2)^2-0.5*((($F28-2004)/3)-2)^3,IF($F28&lt;=2013,2/3-((($F28-2004)/3)-2)^2+0.5*((($F28-2004)/3)-2)^3,IF($F28&lt;=2016,(4-(($F28-2004)/3))^3/6,0)))))</f>
        <v>0</v>
      </c>
      <c r="R28" s="16">
        <f>IF($F28&lt;=2007,0,IF($F28&lt;=2010,(($F28-2007)/3)^3/6,IF($F28&lt;=2013,2/3-((($F28-2007)/3)-2)^2-0.5*((($F28-2007)/3)-2)^3,IF($F28&lt;=2016,2/3-((($F28-2007)/3)-2)^2+0.5*((($F28-2007)/3)-2)^3,IF($F28&lt;=2019,(4-(($F28-2007)/3))^3/6,0)))))</f>
        <v>0.16666666666666699</v>
      </c>
      <c r="S28" s="16">
        <f>IF($F28&lt;=2010,0,IF($F28&lt;=2013,(($F28-2010)/3)^3/6,IF($F28&lt;=2016,2/3-((($F28-2010)/3)-2)^2-0.5*((($F28-2010)/3)-2)^3,IF($F28&lt;=2019,2/3-((($F28-2010)/3)-2)^2+0.5*((($F28-2010)/3)-2)^3,IF($F28&lt;=2022,(4-(($F28-2010)/3))^3/6,0)))))</f>
        <v>0.66666666666666696</v>
      </c>
      <c r="T28" s="16">
        <f>IF($F28&lt;=2013,0,IF($F28&lt;=2016,(($F28-2013)/3)^3/6,IF($F28&lt;=2019,2/3-((($F28-2013)/3)-2)^2-0.5*((($F28-2013)/3)-2)^3,IF($F28&lt;=2022,2/3-((($F28-2013)/3)-2)^2+0.5*((($F28-2013)/3)-2)^3,IF($F28&lt;=2025,(4-(($F28-2013)/3))^3/6,0)))))</f>
        <v>0.16666666666666699</v>
      </c>
      <c r="U28" s="16">
        <f>IF($F28&lt;=2016,0,IF($F28&lt;=2019,(($F28-2016)/3)^3/6,IF($F28&lt;=2022,2/3-((($F28-2016)/3)-2)^2-0.5*((($F28-2016)/3)-2)^3,IF($F28&lt;=2025,2/3-((($F28-2016)/3)-2)^2+0.5*((($F28-2016)/3)-2)^3,IF($F28&lt;=2028,(4-(($F28-2016)/3))^3/6,0)))))</f>
        <v>0</v>
      </c>
    </row>
    <row r="29">
      <c r="A29" s="19" t="n"/>
      <c r="F29" s="18" t="n">
        <v>2017</v>
      </c>
      <c r="G29" s="16">
        <f>'M_70_t'!B24</f>
        <v>0.000460024326747511</v>
      </c>
      <c r="H29" s="16">
        <f>SUMPRODUCT(K29:U29,$K$5:$U$5)</f>
        <v>-8.3657626041090207</v>
      </c>
      <c r="I29" s="16">
        <f>EXP(H29)</f>
        <v>0.00023269950750190999</v>
      </c>
      <c r="J29" s="15" t="inlineStr">
        <is>
          <t>Projected</t>
        </is>
      </c>
      <c r="K29" s="16">
        <f>IF($F29&lt;=1986,0,IF($F29&lt;=1989,(($F29-1986)/3)^3/6,IF($F29&lt;=1992,2/3-((($F29-1986)/3)-2)^2-0.5*((($F29-1986)/3)-2)^3,IF($F29&lt;=1995,2/3-((($F29-1986)/3)-2)^2+0.5*((($F29-1986)/3)-2)^3,IF($F29&lt;=1998,(4-(($F29-1986)/3))^3/6,0)))))</f>
        <v>0</v>
      </c>
      <c r="L29" s="16">
        <f>IF($F29&lt;=1989,0,IF($F29&lt;=1992,(($F29-1989)/3)^3/6,IF($F29&lt;=1995,2/3-((($F29-1989)/3)-2)^2-0.5*((($F29-1989)/3)-2)^3,IF($F29&lt;=1998,2/3-((($F29-1989)/3)-2)^2+0.5*((($F29-1989)/3)-2)^3,IF($F29&lt;=2001,(4-(($F29-1989)/3))^3/6,0)))))</f>
        <v>0</v>
      </c>
      <c r="M29" s="16">
        <f>IF($F29&lt;=1992,0,IF($F29&lt;=1995,(($F29-1992)/3)^3/6,IF($F29&lt;=1998,2/3-((($F29-1992)/3)-2)^2-0.5*((($F29-1992)/3)-2)^3,IF($F29&lt;=2001,2/3-((($F29-1992)/3)-2)^2+0.5*((($F29-1992)/3)-2)^3,IF($F29&lt;=2004,(4-(($F29-1992)/3))^3/6,0)))))</f>
        <v>0</v>
      </c>
      <c r="N29" s="16">
        <f>IF($F29&lt;=1995,0,IF($F29&lt;=1998,(($F29-1995)/3)^3/6,IF($F29&lt;=2001,2/3-((($F29-1995)/3)-2)^2-0.5*((($F29-1995)/3)-2)^3,IF($F29&lt;=2004,2/3-((($F29-1995)/3)-2)^2+0.5*((($F29-1995)/3)-2)^3,IF($F29&lt;=2007,(4-(($F29-1995)/3))^3/6,0)))))</f>
        <v>0</v>
      </c>
      <c r="O29" s="16">
        <f>IF($F29&lt;=1998,0,IF($F29&lt;=2001,(($F29-1998)/3)^3/6,IF($F29&lt;=2004,2/3-((($F29-1998)/3)-2)^2-0.5*((($F29-1998)/3)-2)^3,IF($F29&lt;=2007,2/3-((($F29-1998)/3)-2)^2+0.5*((($F29-1998)/3)-2)^3,IF($F29&lt;=2010,(4-(($F29-1998)/3))^3/6,0)))))</f>
        <v>0</v>
      </c>
      <c r="P29" s="16">
        <f>IF($F29&lt;=2001,0,IF($F29&lt;=2004,(($F29-2001)/3)^3/6,IF($F29&lt;=2007,2/3-((($F29-2001)/3)-2)^2-0.5*((($F29-2001)/3)-2)^3,IF($F29&lt;=2010,2/3-((($F29-2001)/3)-2)^2+0.5*((($F29-2001)/3)-2)^3,IF($F29&lt;=2013,(4-(($F29-2001)/3))^3/6,0)))))</f>
        <v>0</v>
      </c>
      <c r="Q29" s="16">
        <f>IF($F29&lt;=2004,0,IF($F29&lt;=2007,(($F29-2004)/3)^3/6,IF($F29&lt;=2010,2/3-((($F29-2004)/3)-2)^2-0.5*((($F29-2004)/3)-2)^3,IF($F29&lt;=2013,2/3-((($F29-2004)/3)-2)^2+0.5*((($F29-2004)/3)-2)^3,IF($F29&lt;=2016,(4-(($F29-2004)/3))^3/6,0)))))</f>
        <v>0</v>
      </c>
      <c r="R29" s="16">
        <f>IF($F29&lt;=2007,0,IF($F29&lt;=2010,(($F29-2007)/3)^3/6,IF($F29&lt;=2013,2/3-((($F29-2007)/3)-2)^2-0.5*((($F29-2007)/3)-2)^3,IF($F29&lt;=2016,2/3-((($F29-2007)/3)-2)^2+0.5*((($F29-2007)/3)-2)^3,IF($F29&lt;=2019,(4-(($F29-2007)/3))^3/6,0)))))</f>
        <v>0.049382716049382699</v>
      </c>
      <c r="S29" s="16">
        <f>IF($F29&lt;=2010,0,IF($F29&lt;=2013,(($F29-2010)/3)^3/6,IF($F29&lt;=2016,2/3-((($F29-2010)/3)-2)^2-0.5*((($F29-2010)/3)-2)^3,IF($F29&lt;=2019,2/3-((($F29-2010)/3)-2)^2+0.5*((($F29-2010)/3)-2)^3,IF($F29&lt;=2022,(4-(($F29-2010)/3))^3/6,0)))))</f>
        <v>0.57407407407407396</v>
      </c>
      <c r="T29" s="16">
        <f>IF($F29&lt;=2013,0,IF($F29&lt;=2016,(($F29-2013)/3)^3/6,IF($F29&lt;=2019,2/3-((($F29-2013)/3)-2)^2-0.5*((($F29-2013)/3)-2)^3,IF($F29&lt;=2022,2/3-((($F29-2013)/3)-2)^2+0.5*((($F29-2013)/3)-2)^3,IF($F29&lt;=2025,(4-(($F29-2013)/3))^3/6,0)))))</f>
        <v>0.37037037037037002</v>
      </c>
      <c r="U29" s="16">
        <f>IF($F29&lt;=2016,0,IF($F29&lt;=2019,(($F29-2016)/3)^3/6,IF($F29&lt;=2022,2/3-((($F29-2016)/3)-2)^2-0.5*((($F29-2016)/3)-2)^3,IF($F29&lt;=2025,2/3-((($F29-2016)/3)-2)^2+0.5*((($F29-2016)/3)-2)^3,IF($F29&lt;=2028,(4-(($F29-2016)/3))^3/6,0)))))</f>
        <v>0.00617283950617284</v>
      </c>
    </row>
    <row r="30">
      <c r="A30" s="19" t="n"/>
      <c r="F30" s="18" t="n">
        <v>2018</v>
      </c>
      <c r="G30" s="16">
        <f>'M_70_t'!B25</f>
        <v>0.000416641795239238</v>
      </c>
      <c r="H30" s="16">
        <f>SUMPRODUCT(K30:U30,$K$5:$U$5)</f>
        <v>-8.4422564380233798</v>
      </c>
      <c r="I30" s="16">
        <f>EXP(H30)</f>
        <v>0.00021556319610499701</v>
      </c>
      <c r="J30" s="15" t="inlineStr">
        <is>
          <t>Projected</t>
        </is>
      </c>
      <c r="K30" s="16">
        <f>IF($F30&lt;=1986,0,IF($F30&lt;=1989,(($F30-1986)/3)^3/6,IF($F30&lt;=1992,2/3-((($F30-1986)/3)-2)^2-0.5*((($F30-1986)/3)-2)^3,IF($F30&lt;=1995,2/3-((($F30-1986)/3)-2)^2+0.5*((($F30-1986)/3)-2)^3,IF($F30&lt;=1998,(4-(($F30-1986)/3))^3/6,0)))))</f>
        <v>0</v>
      </c>
      <c r="L30" s="16">
        <f>IF($F30&lt;=1989,0,IF($F30&lt;=1992,(($F30-1989)/3)^3/6,IF($F30&lt;=1995,2/3-((($F30-1989)/3)-2)^2-0.5*((($F30-1989)/3)-2)^3,IF($F30&lt;=1998,2/3-((($F30-1989)/3)-2)^2+0.5*((($F30-1989)/3)-2)^3,IF($F30&lt;=2001,(4-(($F30-1989)/3))^3/6,0)))))</f>
        <v>0</v>
      </c>
      <c r="M30" s="16">
        <f>IF($F30&lt;=1992,0,IF($F30&lt;=1995,(($F30-1992)/3)^3/6,IF($F30&lt;=1998,2/3-((($F30-1992)/3)-2)^2-0.5*((($F30-1992)/3)-2)^3,IF($F30&lt;=2001,2/3-((($F30-1992)/3)-2)^2+0.5*((($F30-1992)/3)-2)^3,IF($F30&lt;=2004,(4-(($F30-1992)/3))^3/6,0)))))</f>
        <v>0</v>
      </c>
      <c r="N30" s="16">
        <f>IF($F30&lt;=1995,0,IF($F30&lt;=1998,(($F30-1995)/3)^3/6,IF($F30&lt;=2001,2/3-((($F30-1995)/3)-2)^2-0.5*((($F30-1995)/3)-2)^3,IF($F30&lt;=2004,2/3-((($F30-1995)/3)-2)^2+0.5*((($F30-1995)/3)-2)^3,IF($F30&lt;=2007,(4-(($F30-1995)/3))^3/6,0)))))</f>
        <v>0</v>
      </c>
      <c r="O30" s="16">
        <f>IF($F30&lt;=1998,0,IF($F30&lt;=2001,(($F30-1998)/3)^3/6,IF($F30&lt;=2004,2/3-((($F30-1998)/3)-2)^2-0.5*((($F30-1998)/3)-2)^3,IF($F30&lt;=2007,2/3-((($F30-1998)/3)-2)^2+0.5*((($F30-1998)/3)-2)^3,IF($F30&lt;=2010,(4-(($F30-1998)/3))^3/6,0)))))</f>
        <v>0</v>
      </c>
      <c r="P30" s="16">
        <f>IF($F30&lt;=2001,0,IF($F30&lt;=2004,(($F30-2001)/3)^3/6,IF($F30&lt;=2007,2/3-((($F30-2001)/3)-2)^2-0.5*((($F30-2001)/3)-2)^3,IF($F30&lt;=2010,2/3-((($F30-2001)/3)-2)^2+0.5*((($F30-2001)/3)-2)^3,IF($F30&lt;=2013,(4-(($F30-2001)/3))^3/6,0)))))</f>
        <v>0</v>
      </c>
      <c r="Q30" s="16">
        <f>IF($F30&lt;=2004,0,IF($F30&lt;=2007,(($F30-2004)/3)^3/6,IF($F30&lt;=2010,2/3-((($F30-2004)/3)-2)^2-0.5*((($F30-2004)/3)-2)^3,IF($F30&lt;=2013,2/3-((($F30-2004)/3)-2)^2+0.5*((($F30-2004)/3)-2)^3,IF($F30&lt;=2016,(4-(($F30-2004)/3))^3/6,0)))))</f>
        <v>0</v>
      </c>
      <c r="R30" s="16">
        <f>IF($F30&lt;=2007,0,IF($F30&lt;=2010,(($F30-2007)/3)^3/6,IF($F30&lt;=2013,2/3-((($F30-2007)/3)-2)^2-0.5*((($F30-2007)/3)-2)^3,IF($F30&lt;=2016,2/3-((($F30-2007)/3)-2)^2+0.5*((($F30-2007)/3)-2)^3,IF($F30&lt;=2019,(4-(($F30-2007)/3))^3/6,0)))))</f>
        <v>0.00617283950617284</v>
      </c>
      <c r="S30" s="16">
        <f>IF($F30&lt;=2010,0,IF($F30&lt;=2013,(($F30-2010)/3)^3/6,IF($F30&lt;=2016,2/3-((($F30-2010)/3)-2)^2-0.5*((($F30-2010)/3)-2)^3,IF($F30&lt;=2019,2/3-((($F30-2010)/3)-2)^2+0.5*((($F30-2010)/3)-2)^3,IF($F30&lt;=2022,(4-(($F30-2010)/3))^3/6,0)))))</f>
        <v>0.37037037037037002</v>
      </c>
      <c r="T30" s="16">
        <f>IF($F30&lt;=2013,0,IF($F30&lt;=2016,(($F30-2013)/3)^3/6,IF($F30&lt;=2019,2/3-((($F30-2013)/3)-2)^2-0.5*((($F30-2013)/3)-2)^3,IF($F30&lt;=2022,2/3-((($F30-2013)/3)-2)^2+0.5*((($F30-2013)/3)-2)^3,IF($F30&lt;=2025,(4-(($F30-2013)/3))^3/6,0)))))</f>
        <v>0.57407407407407396</v>
      </c>
      <c r="U30" s="16">
        <f>IF($F30&lt;=2016,0,IF($F30&lt;=2019,(($F30-2016)/3)^3/6,IF($F30&lt;=2022,2/3-((($F30-2016)/3)-2)^2-0.5*((($F30-2016)/3)-2)^3,IF($F30&lt;=2025,2/3-((($F30-2016)/3)-2)^2+0.5*((($F30-2016)/3)-2)^3,IF($F30&lt;=2028,(4-(($F30-2016)/3))^3/6,0)))))</f>
        <v>0.049382716049382699</v>
      </c>
    </row>
    <row r="31">
      <c r="A31" s="19" t="n"/>
      <c r="F31" s="18" t="n">
        <v>2019</v>
      </c>
      <c r="G31" s="16">
        <f>'M_70_t'!B26</f>
        <v>0.00044343997079208703</v>
      </c>
      <c r="H31" s="16">
        <f>SUMPRODUCT(K31:U31,$K$5:$U$5)</f>
        <v>-8.5187502719377495</v>
      </c>
      <c r="I31" s="16">
        <f>EXP(H31)</f>
        <v>0.00019968882621988399</v>
      </c>
      <c r="J31" s="15" t="inlineStr">
        <is>
          <t>Projected</t>
        </is>
      </c>
      <c r="K31" s="16">
        <f>IF($F31&lt;=1986,0,IF($F31&lt;=1989,(($F31-1986)/3)^3/6,IF($F31&lt;=1992,2/3-((($F31-1986)/3)-2)^2-0.5*((($F31-1986)/3)-2)^3,IF($F31&lt;=1995,2/3-((($F31-1986)/3)-2)^2+0.5*((($F31-1986)/3)-2)^3,IF($F31&lt;=1998,(4-(($F31-1986)/3))^3/6,0)))))</f>
        <v>0</v>
      </c>
      <c r="L31" s="16">
        <f>IF($F31&lt;=1989,0,IF($F31&lt;=1992,(($F31-1989)/3)^3/6,IF($F31&lt;=1995,2/3-((($F31-1989)/3)-2)^2-0.5*((($F31-1989)/3)-2)^3,IF($F31&lt;=1998,2/3-((($F31-1989)/3)-2)^2+0.5*((($F31-1989)/3)-2)^3,IF($F31&lt;=2001,(4-(($F31-1989)/3))^3/6,0)))))</f>
        <v>0</v>
      </c>
      <c r="M31" s="16">
        <f>IF($F31&lt;=1992,0,IF($F31&lt;=1995,(($F31-1992)/3)^3/6,IF($F31&lt;=1998,2/3-((($F31-1992)/3)-2)^2-0.5*((($F31-1992)/3)-2)^3,IF($F31&lt;=2001,2/3-((($F31-1992)/3)-2)^2+0.5*((($F31-1992)/3)-2)^3,IF($F31&lt;=2004,(4-(($F31-1992)/3))^3/6,0)))))</f>
        <v>0</v>
      </c>
      <c r="N31" s="16">
        <f>IF($F31&lt;=1995,0,IF($F31&lt;=1998,(($F31-1995)/3)^3/6,IF($F31&lt;=2001,2/3-((($F31-1995)/3)-2)^2-0.5*((($F31-1995)/3)-2)^3,IF($F31&lt;=2004,2/3-((($F31-1995)/3)-2)^2+0.5*((($F31-1995)/3)-2)^3,IF($F31&lt;=2007,(4-(($F31-1995)/3))^3/6,0)))))</f>
        <v>0</v>
      </c>
      <c r="O31" s="16">
        <f>IF($F31&lt;=1998,0,IF($F31&lt;=2001,(($F31-1998)/3)^3/6,IF($F31&lt;=2004,2/3-((($F31-1998)/3)-2)^2-0.5*((($F31-1998)/3)-2)^3,IF($F31&lt;=2007,2/3-((($F31-1998)/3)-2)^2+0.5*((($F31-1998)/3)-2)^3,IF($F31&lt;=2010,(4-(($F31-1998)/3))^3/6,0)))))</f>
        <v>0</v>
      </c>
      <c r="P31" s="16">
        <f>IF($F31&lt;=2001,0,IF($F31&lt;=2004,(($F31-2001)/3)^3/6,IF($F31&lt;=2007,2/3-((($F31-2001)/3)-2)^2-0.5*((($F31-2001)/3)-2)^3,IF($F31&lt;=2010,2/3-((($F31-2001)/3)-2)^2+0.5*((($F31-2001)/3)-2)^3,IF($F31&lt;=2013,(4-(($F31-2001)/3))^3/6,0)))))</f>
        <v>0</v>
      </c>
      <c r="Q31" s="16">
        <f>IF($F31&lt;=2004,0,IF($F31&lt;=2007,(($F31-2004)/3)^3/6,IF($F31&lt;=2010,2/3-((($F31-2004)/3)-2)^2-0.5*((($F31-2004)/3)-2)^3,IF($F31&lt;=2013,2/3-((($F31-2004)/3)-2)^2+0.5*((($F31-2004)/3)-2)^3,IF($F31&lt;=2016,(4-(($F31-2004)/3))^3/6,0)))))</f>
        <v>0</v>
      </c>
      <c r="R31" s="16">
        <f>IF($F31&lt;=2007,0,IF($F31&lt;=2010,(($F31-2007)/3)^3/6,IF($F31&lt;=2013,2/3-((($F31-2007)/3)-2)^2-0.5*((($F31-2007)/3)-2)^3,IF($F31&lt;=2016,2/3-((($F31-2007)/3)-2)^2+0.5*((($F31-2007)/3)-2)^3,IF($F31&lt;=2019,(4-(($F31-2007)/3))^3/6,0)))))</f>
        <v>0</v>
      </c>
      <c r="S31" s="16">
        <f>IF($F31&lt;=2010,0,IF($F31&lt;=2013,(($F31-2010)/3)^3/6,IF($F31&lt;=2016,2/3-((($F31-2010)/3)-2)^2-0.5*((($F31-2010)/3)-2)^3,IF($F31&lt;=2019,2/3-((($F31-2010)/3)-2)^2+0.5*((($F31-2010)/3)-2)^3,IF($F31&lt;=2022,(4-(($F31-2010)/3))^3/6,0)))))</f>
        <v>0.16666666666666699</v>
      </c>
      <c r="T31" s="16">
        <f>IF($F31&lt;=2013,0,IF($F31&lt;=2016,(($F31-2013)/3)^3/6,IF($F31&lt;=2019,2/3-((($F31-2013)/3)-2)^2-0.5*((($F31-2013)/3)-2)^3,IF($F31&lt;=2022,2/3-((($F31-2013)/3)-2)^2+0.5*((($F31-2013)/3)-2)^3,IF($F31&lt;=2025,(4-(($F31-2013)/3))^3/6,0)))))</f>
        <v>0.66666666666666696</v>
      </c>
      <c r="U31" s="16">
        <f>IF($F31&lt;=2016,0,IF($F31&lt;=2019,(($F31-2016)/3)^3/6,IF($F31&lt;=2022,2/3-((($F31-2016)/3)-2)^2-0.5*((($F31-2016)/3)-2)^3,IF($F31&lt;=2025,2/3-((($F31-2016)/3)-2)^2+0.5*((($F31-2016)/3)-2)^3,IF($F31&lt;=2028,(4-(($F31-2016)/3))^3/6,0)))))</f>
        <v>0.16666666666666699</v>
      </c>
    </row>
    <row r="32">
      <c r="A32" s="19" t="n"/>
      <c r="F32" s="19" t="n"/>
    </row>
    <row r="33">
      <c r="A33" s="19" t="n"/>
      <c r="F33" s="19" t="n"/>
    </row>
    <row r="34"/>
    <row r="35"/>
    <row r="36"/>
    <row r="37">
      <c r="A37" s="13" t="inlineStr">
        <is>
          <t>Requested forecast years</t>
        </is>
      </c>
    </row>
    <row r="38"/>
    <row r="39">
      <c r="A39" s="15" t="inlineStr">
        <is>
          <t>Year</t>
        </is>
      </c>
      <c r="B39" s="15" t="inlineStr">
        <is>
          <t>Mortality projection</t>
        </is>
      </c>
    </row>
    <row r="40">
      <c r="A40" s="15" t="n">
        <v>2007</v>
      </c>
      <c r="B40" s="16">
        <f>INDEX($I$7:$I$31,MATCH(A40,$F$7:$F$31,0))</f>
        <v>0.00050003909881698896</v>
      </c>
    </row>
    <row r="41">
      <c r="A41" s="15" t="n">
        <v>2010</v>
      </c>
      <c r="B41" s="16">
        <f>INDEX($I$7:$I$31,MATCH(A41,$F$7:$F$31,0))</f>
        <v>0.00039750391824097399</v>
      </c>
    </row>
    <row r="42">
      <c r="A42" s="15" t="n">
        <v>2013</v>
      </c>
      <c r="B42" s="16">
        <f>INDEX($I$7:$I$31,MATCH(A42,$F$7:$F$31,0))</f>
        <v>0.00031599402004913498</v>
      </c>
    </row>
    <row r="43">
      <c r="A43" s="15" t="n">
        <v>2016</v>
      </c>
      <c r="B43" s="16">
        <f>INDEX($I$7:$I$31,MATCH(A43,$F$7:$F$31,0))</f>
        <v>0.00025119807912504902</v>
      </c>
    </row>
    <row r="44">
      <c r="A44" s="15" t="n">
        <v>2019</v>
      </c>
      <c r="B44" s="16">
        <f>INDEX($I$7:$I$31,MATCH(A44,$F$7:$F$31,0))</f>
        <v>0.00019968882621988399</v>
      </c>
    </row>
  </sheetData>
  <mergeCells count="1">
    <mergeCell ref="A2:P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</cols>
  <sheetData>
    <row r="1">
      <c r="A1" s="13" t="inlineStr">
        <is>
          <t>Q2(c)_M2 — Week 11 fitting layout</t>
        </is>
      </c>
    </row>
    <row r="2" ht="36" customHeight="1">
      <c r="A2" s="2" t="inlineStr">
        <is>
          <t>Fourth-order B-splines; fit LN(m). Coefficients are numeric Solver decision cells, as in Week11_Q1sol.xlsx. All basis functions, fitted values, differences, errors and objective calculations are Excel formulas.</t>
        </is>
      </c>
    </row>
    <row r="3" ht="36" customHeight="1">
      <c r="A3" s="2" t="inlineStr">
        <is>
          <t>Part (b) uses only the four assignment observations. Part (c) refits M1 and M2 independently on M_70_t observations for 1995–2004, following the instructor correction.</t>
        </is>
      </c>
    </row>
    <row r="4"/>
    <row r="5"/>
    <row r="6" ht="32" customHeight="1">
      <c r="D6" s="14" t="n">
        <v>1992</v>
      </c>
      <c r="E6" s="14" t="n">
        <v>1993</v>
      </c>
      <c r="F6" s="14" t="n">
        <v>1994</v>
      </c>
      <c r="G6" s="14" t="n">
        <v>1995</v>
      </c>
      <c r="H6" s="14" t="n">
        <v>1996</v>
      </c>
      <c r="I6" s="14" t="n">
        <v>1997</v>
      </c>
      <c r="J6" s="14" t="n">
        <v>1998</v>
      </c>
      <c r="K6" s="14" t="n">
        <v>1999</v>
      </c>
      <c r="L6" s="14" t="n">
        <v>2000</v>
      </c>
      <c r="M6" s="14" t="n">
        <v>2001</v>
      </c>
      <c r="N6" s="14" t="n">
        <v>2002</v>
      </c>
      <c r="O6" s="14" t="n">
        <v>2003</v>
      </c>
    </row>
    <row r="7" ht="32" customHeight="1">
      <c r="A7" s="14" t="inlineStr">
        <is>
          <t>Year</t>
        </is>
      </c>
      <c r="B7" s="14" t="inlineStr">
        <is>
          <t>Observed mortality m</t>
        </is>
      </c>
      <c r="C7" s="14" t="inlineStr">
        <is>
          <t>LN(m)</t>
        </is>
      </c>
      <c r="D7" s="14" t="inlineStr">
        <is>
          <t>B_1992,4(t)</t>
        </is>
      </c>
      <c r="E7" s="14" t="inlineStr">
        <is>
          <t>B_1993,4(t)</t>
        </is>
      </c>
      <c r="F7" s="14" t="inlineStr">
        <is>
          <t>B_1994,4(t)</t>
        </is>
      </c>
      <c r="G7" s="14" t="inlineStr">
        <is>
          <t>B_1995,4(t)</t>
        </is>
      </c>
      <c r="H7" s="14" t="inlineStr">
        <is>
          <t>B_1996,4(t)</t>
        </is>
      </c>
      <c r="I7" s="14" t="inlineStr">
        <is>
          <t>B_1997,4(t)</t>
        </is>
      </c>
      <c r="J7" s="14" t="inlineStr">
        <is>
          <t>B_1998,4(t)</t>
        </is>
      </c>
      <c r="K7" s="14" t="inlineStr">
        <is>
          <t>B_1999,4(t)</t>
        </is>
      </c>
      <c r="L7" s="14" t="inlineStr">
        <is>
          <t>B_2000,4(t)</t>
        </is>
      </c>
      <c r="M7" s="14" t="inlineStr">
        <is>
          <t>B_2001,4(t)</t>
        </is>
      </c>
      <c r="N7" s="14" t="inlineStr">
        <is>
          <t>B_2002,4(t)</t>
        </is>
      </c>
      <c r="O7" s="14" t="inlineStr">
        <is>
          <t>B_2003,4(t)</t>
        </is>
      </c>
      <c r="P7" s="14" t="inlineStr">
        <is>
          <t>Fitted LN(m)</t>
        </is>
      </c>
      <c r="Q7" s="14" t="inlineStr">
        <is>
          <t>Log residual</t>
        </is>
      </c>
      <c r="R7" s="14" t="inlineStr">
        <is>
          <t>Squared log error</t>
        </is>
      </c>
    </row>
    <row r="8">
      <c r="A8" s="15" t="n">
        <v>1995</v>
      </c>
      <c r="B8" s="16">
        <f>'M_70_t'!B2</f>
        <v>0.00085662921497227005</v>
      </c>
      <c r="C8" s="16">
        <f>LN(B8)</f>
        <v>-7.0625053876299804</v>
      </c>
      <c r="D8" s="16">
        <f>IF($A8&lt;=1992,0,IF($A8&lt;=1993,(($A8-1992)/1)^3/6,IF($A8&lt;=1994,2/3-((($A8-1992)/1)-2)^2-0.5*((($A8-1992)/1)-2)^3,IF($A8&lt;=1995,2/3-((($A8-1992)/1)-2)^2+0.5*((($A8-1992)/1)-2)^3,IF($A8&lt;=1996,(4-(($A8-1992)/1))^3/6,0)))))</f>
        <v>0.16666666666666699</v>
      </c>
      <c r="E8" s="16">
        <f>IF($A8&lt;=1993,0,IF($A8&lt;=1994,(($A8-1993)/1)^3/6,IF($A8&lt;=1995,2/3-((($A8-1993)/1)-2)^2-0.5*((($A8-1993)/1)-2)^3,IF($A8&lt;=1996,2/3-((($A8-1993)/1)-2)^2+0.5*((($A8-1993)/1)-2)^3,IF($A8&lt;=1997,(4-(($A8-1993)/1))^3/6,0)))))</f>
        <v>0.66666666666666696</v>
      </c>
      <c r="F8" s="16">
        <f>IF($A8&lt;=1994,0,IF($A8&lt;=1995,(($A8-1994)/1)^3/6,IF($A8&lt;=1996,2/3-((($A8-1994)/1)-2)^2-0.5*((($A8-1994)/1)-2)^3,IF($A8&lt;=1997,2/3-((($A8-1994)/1)-2)^2+0.5*((($A8-1994)/1)-2)^3,IF($A8&lt;=1998,(4-(($A8-1994)/1))^3/6,0)))))</f>
        <v>0.16666666666666699</v>
      </c>
      <c r="G8" s="16">
        <f>IF($A8&lt;=1995,0,IF($A8&lt;=1996,(($A8-1995)/1)^3/6,IF($A8&lt;=1997,2/3-((($A8-1995)/1)-2)^2-0.5*((($A8-1995)/1)-2)^3,IF($A8&lt;=1998,2/3-((($A8-1995)/1)-2)^2+0.5*((($A8-1995)/1)-2)^3,IF($A8&lt;=1999,(4-(($A8-1995)/1))^3/6,0)))))</f>
        <v>0</v>
      </c>
      <c r="H8" s="16">
        <f>IF($A8&lt;=1996,0,IF($A8&lt;=1997,(($A8-1996)/1)^3/6,IF($A8&lt;=1998,2/3-((($A8-1996)/1)-2)^2-0.5*((($A8-1996)/1)-2)^3,IF($A8&lt;=1999,2/3-((($A8-1996)/1)-2)^2+0.5*((($A8-1996)/1)-2)^3,IF($A8&lt;=2000,(4-(($A8-1996)/1))^3/6,0)))))</f>
        <v>0</v>
      </c>
      <c r="I8" s="16">
        <f>IF($A8&lt;=1997,0,IF($A8&lt;=1998,(($A8-1997)/1)^3/6,IF($A8&lt;=1999,2/3-((($A8-1997)/1)-2)^2-0.5*((($A8-1997)/1)-2)^3,IF($A8&lt;=2000,2/3-((($A8-1997)/1)-2)^2+0.5*((($A8-1997)/1)-2)^3,IF($A8&lt;=2001,(4-(($A8-1997)/1))^3/6,0)))))</f>
        <v>0</v>
      </c>
      <c r="J8" s="16">
        <f>IF($A8&lt;=1998,0,IF($A8&lt;=1999,(($A8-1998)/1)^3/6,IF($A8&lt;=2000,2/3-((($A8-1998)/1)-2)^2-0.5*((($A8-1998)/1)-2)^3,IF($A8&lt;=2001,2/3-((($A8-1998)/1)-2)^2+0.5*((($A8-1998)/1)-2)^3,IF($A8&lt;=2002,(4-(($A8-1998)/1))^3/6,0)))))</f>
        <v>0</v>
      </c>
      <c r="K8" s="16">
        <f>IF($A8&lt;=1999,0,IF($A8&lt;=2000,(($A8-1999)/1)^3/6,IF($A8&lt;=2001,2/3-((($A8-1999)/1)-2)^2-0.5*((($A8-1999)/1)-2)^3,IF($A8&lt;=2002,2/3-((($A8-1999)/1)-2)^2+0.5*((($A8-1999)/1)-2)^3,IF($A8&lt;=2003,(4-(($A8-1999)/1))^3/6,0)))))</f>
        <v>0</v>
      </c>
      <c r="L8" s="16">
        <f>IF($A8&lt;=2000,0,IF($A8&lt;=2001,(($A8-2000)/1)^3/6,IF($A8&lt;=2002,2/3-((($A8-2000)/1)-2)^2-0.5*((($A8-2000)/1)-2)^3,IF($A8&lt;=2003,2/3-((($A8-2000)/1)-2)^2+0.5*((($A8-2000)/1)-2)^3,IF($A8&lt;=2004,(4-(($A8-2000)/1))^3/6,0)))))</f>
        <v>0</v>
      </c>
      <c r="M8" s="16">
        <f>IF($A8&lt;=2001,0,IF($A8&lt;=2002,(($A8-2001)/1)^3/6,IF($A8&lt;=2003,2/3-((($A8-2001)/1)-2)^2-0.5*((($A8-2001)/1)-2)^3,IF($A8&lt;=2004,2/3-((($A8-2001)/1)-2)^2+0.5*((($A8-2001)/1)-2)^3,IF($A8&lt;=2005,(4-(($A8-2001)/1))^3/6,0)))))</f>
        <v>0</v>
      </c>
      <c r="N8" s="16">
        <f>IF($A8&lt;=2002,0,IF($A8&lt;=2003,(($A8-2002)/1)^3/6,IF($A8&lt;=2004,2/3-((($A8-2002)/1)-2)^2-0.5*((($A8-2002)/1)-2)^3,IF($A8&lt;=2005,2/3-((($A8-2002)/1)-2)^2+0.5*((($A8-2002)/1)-2)^3,IF($A8&lt;=2006,(4-(($A8-2002)/1))^3/6,0)))))</f>
        <v>0</v>
      </c>
      <c r="O8" s="16">
        <f>IF($A8&lt;=2003,0,IF($A8&lt;=2004,(($A8-2003)/1)^3/6,IF($A8&lt;=2005,2/3-((($A8-2003)/1)-2)^2-0.5*((($A8-2003)/1)-2)^3,IF($A8&lt;=2006,2/3-((($A8-2003)/1)-2)^2+0.5*((($A8-2003)/1)-2)^3,IF($A8&lt;=2007,(4-(($A8-2003)/1))^3/6,0)))))</f>
        <v>0</v>
      </c>
      <c r="P8" s="16">
        <f>SUMPRODUCT(D8:O8,$B$24:$M$24)</f>
        <v>-7.0785227684387504</v>
      </c>
      <c r="Q8" s="16">
        <f>C8-P8</f>
        <v>0.016017380808777099</v>
      </c>
      <c r="R8" s="16">
        <f>Q8^2</f>
        <v>0.00025655648797338199</v>
      </c>
    </row>
    <row r="9">
      <c r="A9" s="15" t="n">
        <v>1996</v>
      </c>
      <c r="B9" s="16">
        <f>'M_70_t'!B3</f>
        <v>0.00082999932605467902</v>
      </c>
      <c r="C9" s="16">
        <f>LN(B9)</f>
        <v>-7.0940856691562804</v>
      </c>
      <c r="D9" s="16">
        <f>IF($A9&lt;=1992,0,IF($A9&lt;=1993,(($A9-1992)/1)^3/6,IF($A9&lt;=1994,2/3-((($A9-1992)/1)-2)^2-0.5*((($A9-1992)/1)-2)^3,IF($A9&lt;=1995,2/3-((($A9-1992)/1)-2)^2+0.5*((($A9-1992)/1)-2)^3,IF($A9&lt;=1996,(4-(($A9-1992)/1))^3/6,0)))))</f>
        <v>0</v>
      </c>
      <c r="E9" s="16">
        <f>IF($A9&lt;=1993,0,IF($A9&lt;=1994,(($A9-1993)/1)^3/6,IF($A9&lt;=1995,2/3-((($A9-1993)/1)-2)^2-0.5*((($A9-1993)/1)-2)^3,IF($A9&lt;=1996,2/3-((($A9-1993)/1)-2)^2+0.5*((($A9-1993)/1)-2)^3,IF($A9&lt;=1997,(4-(($A9-1993)/1))^3/6,0)))))</f>
        <v>0.16666666666666699</v>
      </c>
      <c r="F9" s="16">
        <f>IF($A9&lt;=1994,0,IF($A9&lt;=1995,(($A9-1994)/1)^3/6,IF($A9&lt;=1996,2/3-((($A9-1994)/1)-2)^2-0.5*((($A9-1994)/1)-2)^3,IF($A9&lt;=1997,2/3-((($A9-1994)/1)-2)^2+0.5*((($A9-1994)/1)-2)^3,IF($A9&lt;=1998,(4-(($A9-1994)/1))^3/6,0)))))</f>
        <v>0.66666666666666696</v>
      </c>
      <c r="G9" s="16">
        <f>IF($A9&lt;=1995,0,IF($A9&lt;=1996,(($A9-1995)/1)^3/6,IF($A9&lt;=1997,2/3-((($A9-1995)/1)-2)^2-0.5*((($A9-1995)/1)-2)^3,IF($A9&lt;=1998,2/3-((($A9-1995)/1)-2)^2+0.5*((($A9-1995)/1)-2)^3,IF($A9&lt;=1999,(4-(($A9-1995)/1))^3/6,0)))))</f>
        <v>0.16666666666666699</v>
      </c>
      <c r="H9" s="16">
        <f>IF($A9&lt;=1996,0,IF($A9&lt;=1997,(($A9-1996)/1)^3/6,IF($A9&lt;=1998,2/3-((($A9-1996)/1)-2)^2-0.5*((($A9-1996)/1)-2)^3,IF($A9&lt;=1999,2/3-((($A9-1996)/1)-2)^2+0.5*((($A9-1996)/1)-2)^3,IF($A9&lt;=2000,(4-(($A9-1996)/1))^3/6,0)))))</f>
        <v>0</v>
      </c>
      <c r="I9" s="16">
        <f>IF($A9&lt;=1997,0,IF($A9&lt;=1998,(($A9-1997)/1)^3/6,IF($A9&lt;=1999,2/3-((($A9-1997)/1)-2)^2-0.5*((($A9-1997)/1)-2)^3,IF($A9&lt;=2000,2/3-((($A9-1997)/1)-2)^2+0.5*((($A9-1997)/1)-2)^3,IF($A9&lt;=2001,(4-(($A9-1997)/1))^3/6,0)))))</f>
        <v>0</v>
      </c>
      <c r="J9" s="16">
        <f>IF($A9&lt;=1998,0,IF($A9&lt;=1999,(($A9-1998)/1)^3/6,IF($A9&lt;=2000,2/3-((($A9-1998)/1)-2)^2-0.5*((($A9-1998)/1)-2)^3,IF($A9&lt;=2001,2/3-((($A9-1998)/1)-2)^2+0.5*((($A9-1998)/1)-2)^3,IF($A9&lt;=2002,(4-(($A9-1998)/1))^3/6,0)))))</f>
        <v>0</v>
      </c>
      <c r="K9" s="16">
        <f>IF($A9&lt;=1999,0,IF($A9&lt;=2000,(($A9-1999)/1)^3/6,IF($A9&lt;=2001,2/3-((($A9-1999)/1)-2)^2-0.5*((($A9-1999)/1)-2)^3,IF($A9&lt;=2002,2/3-((($A9-1999)/1)-2)^2+0.5*((($A9-1999)/1)-2)^3,IF($A9&lt;=2003,(4-(($A9-1999)/1))^3/6,0)))))</f>
        <v>0</v>
      </c>
      <c r="L9" s="16">
        <f>IF($A9&lt;=2000,0,IF($A9&lt;=2001,(($A9-2000)/1)^3/6,IF($A9&lt;=2002,2/3-((($A9-2000)/1)-2)^2-0.5*((($A9-2000)/1)-2)^3,IF($A9&lt;=2003,2/3-((($A9-2000)/1)-2)^2+0.5*((($A9-2000)/1)-2)^3,IF($A9&lt;=2004,(4-(($A9-2000)/1))^3/6,0)))))</f>
        <v>0</v>
      </c>
      <c r="M9" s="16">
        <f>IF($A9&lt;=2001,0,IF($A9&lt;=2002,(($A9-2001)/1)^3/6,IF($A9&lt;=2003,2/3-((($A9-2001)/1)-2)^2-0.5*((($A9-2001)/1)-2)^3,IF($A9&lt;=2004,2/3-((($A9-2001)/1)-2)^2+0.5*((($A9-2001)/1)-2)^3,IF($A9&lt;=2005,(4-(($A9-2001)/1))^3/6,0)))))</f>
        <v>0</v>
      </c>
      <c r="N9" s="16">
        <f>IF($A9&lt;=2002,0,IF($A9&lt;=2003,(($A9-2002)/1)^3/6,IF($A9&lt;=2004,2/3-((($A9-2002)/1)-2)^2-0.5*((($A9-2002)/1)-2)^3,IF($A9&lt;=2005,2/3-((($A9-2002)/1)-2)^2+0.5*((($A9-2002)/1)-2)^3,IF($A9&lt;=2006,(4-(($A9-2002)/1))^3/6,0)))))</f>
        <v>0</v>
      </c>
      <c r="O9" s="16">
        <f>IF($A9&lt;=2003,0,IF($A9&lt;=2004,(($A9-2003)/1)^3/6,IF($A9&lt;=2005,2/3-((($A9-2003)/1)-2)^2-0.5*((($A9-2003)/1)-2)^3,IF($A9&lt;=2006,2/3-((($A9-2003)/1)-2)^2+0.5*((($A9-2003)/1)-2)^3,IF($A9&lt;=2007,(4-(($A9-2003)/1))^3/6,0)))))</f>
        <v>0</v>
      </c>
      <c r="P9" s="16">
        <f>SUMPRODUCT(D9:O9,$B$24:$M$24)</f>
        <v>-7.0810674847735502</v>
      </c>
      <c r="Q9" s="16">
        <f>C9-P9</f>
        <v>-0.0130181843827231</v>
      </c>
      <c r="R9" s="16">
        <f>Q9^2</f>
        <v>0.00016947312462257499</v>
      </c>
    </row>
    <row r="10">
      <c r="A10" s="15" t="n">
        <v>1997</v>
      </c>
      <c r="B10" s="16">
        <f>'M_70_t'!B4</f>
        <v>0.00080999953267954299</v>
      </c>
      <c r="C10" s="16">
        <f>LN(B10)</f>
        <v>-7.1184768872367901</v>
      </c>
      <c r="D10" s="16">
        <f>IF($A10&lt;=1992,0,IF($A10&lt;=1993,(($A10-1992)/1)^3/6,IF($A10&lt;=1994,2/3-((($A10-1992)/1)-2)^2-0.5*((($A10-1992)/1)-2)^3,IF($A10&lt;=1995,2/3-((($A10-1992)/1)-2)^2+0.5*((($A10-1992)/1)-2)^3,IF($A10&lt;=1996,(4-(($A10-1992)/1))^3/6,0)))))</f>
        <v>0</v>
      </c>
      <c r="E10" s="16">
        <f>IF($A10&lt;=1993,0,IF($A10&lt;=1994,(($A10-1993)/1)^3/6,IF($A10&lt;=1995,2/3-((($A10-1993)/1)-2)^2-0.5*((($A10-1993)/1)-2)^3,IF($A10&lt;=1996,2/3-((($A10-1993)/1)-2)^2+0.5*((($A10-1993)/1)-2)^3,IF($A10&lt;=1997,(4-(($A10-1993)/1))^3/6,0)))))</f>
        <v>0</v>
      </c>
      <c r="F10" s="16">
        <f>IF($A10&lt;=1994,0,IF($A10&lt;=1995,(($A10-1994)/1)^3/6,IF($A10&lt;=1996,2/3-((($A10-1994)/1)-2)^2-0.5*((($A10-1994)/1)-2)^3,IF($A10&lt;=1997,2/3-((($A10-1994)/1)-2)^2+0.5*((($A10-1994)/1)-2)^3,IF($A10&lt;=1998,(4-(($A10-1994)/1))^3/6,0)))))</f>
        <v>0.16666666666666699</v>
      </c>
      <c r="G10" s="16">
        <f>IF($A10&lt;=1995,0,IF($A10&lt;=1996,(($A10-1995)/1)^3/6,IF($A10&lt;=1997,2/3-((($A10-1995)/1)-2)^2-0.5*((($A10-1995)/1)-2)^3,IF($A10&lt;=1998,2/3-((($A10-1995)/1)-2)^2+0.5*((($A10-1995)/1)-2)^3,IF($A10&lt;=1999,(4-(($A10-1995)/1))^3/6,0)))))</f>
        <v>0.66666666666666696</v>
      </c>
      <c r="H10" s="16">
        <f>IF($A10&lt;=1996,0,IF($A10&lt;=1997,(($A10-1996)/1)^3/6,IF($A10&lt;=1998,2/3-((($A10-1996)/1)-2)^2-0.5*((($A10-1996)/1)-2)^3,IF($A10&lt;=1999,2/3-((($A10-1996)/1)-2)^2+0.5*((($A10-1996)/1)-2)^3,IF($A10&lt;=2000,(4-(($A10-1996)/1))^3/6,0)))))</f>
        <v>0.16666666666666699</v>
      </c>
      <c r="I10" s="16">
        <f>IF($A10&lt;=1997,0,IF($A10&lt;=1998,(($A10-1997)/1)^3/6,IF($A10&lt;=1999,2/3-((($A10-1997)/1)-2)^2-0.5*((($A10-1997)/1)-2)^3,IF($A10&lt;=2000,2/3-((($A10-1997)/1)-2)^2+0.5*((($A10-1997)/1)-2)^3,IF($A10&lt;=2001,(4-(($A10-1997)/1))^3/6,0)))))</f>
        <v>0</v>
      </c>
      <c r="J10" s="16">
        <f>IF($A10&lt;=1998,0,IF($A10&lt;=1999,(($A10-1998)/1)^3/6,IF($A10&lt;=2000,2/3-((($A10-1998)/1)-2)^2-0.5*((($A10-1998)/1)-2)^3,IF($A10&lt;=2001,2/3-((($A10-1998)/1)-2)^2+0.5*((($A10-1998)/1)-2)^3,IF($A10&lt;=2002,(4-(($A10-1998)/1))^3/6,0)))))</f>
        <v>0</v>
      </c>
      <c r="K10" s="16">
        <f>IF($A10&lt;=1999,0,IF($A10&lt;=2000,(($A10-1999)/1)^3/6,IF($A10&lt;=2001,2/3-((($A10-1999)/1)-2)^2-0.5*((($A10-1999)/1)-2)^3,IF($A10&lt;=2002,2/3-((($A10-1999)/1)-2)^2+0.5*((($A10-1999)/1)-2)^3,IF($A10&lt;=2003,(4-(($A10-1999)/1))^3/6,0)))))</f>
        <v>0</v>
      </c>
      <c r="L10" s="16">
        <f>IF($A10&lt;=2000,0,IF($A10&lt;=2001,(($A10-2000)/1)^3/6,IF($A10&lt;=2002,2/3-((($A10-2000)/1)-2)^2-0.5*((($A10-2000)/1)-2)^3,IF($A10&lt;=2003,2/3-((($A10-2000)/1)-2)^2+0.5*((($A10-2000)/1)-2)^3,IF($A10&lt;=2004,(4-(($A10-2000)/1))^3/6,0)))))</f>
        <v>0</v>
      </c>
      <c r="M10" s="16">
        <f>IF($A10&lt;=2001,0,IF($A10&lt;=2002,(($A10-2001)/1)^3/6,IF($A10&lt;=2003,2/3-((($A10-2001)/1)-2)^2-0.5*((($A10-2001)/1)-2)^3,IF($A10&lt;=2004,2/3-((($A10-2001)/1)-2)^2+0.5*((($A10-2001)/1)-2)^3,IF($A10&lt;=2005,(4-(($A10-2001)/1))^3/6,0)))))</f>
        <v>0</v>
      </c>
      <c r="N10" s="16">
        <f>IF($A10&lt;=2002,0,IF($A10&lt;=2003,(($A10-2002)/1)^3/6,IF($A10&lt;=2004,2/3-((($A10-2002)/1)-2)^2-0.5*((($A10-2002)/1)-2)^3,IF($A10&lt;=2005,2/3-((($A10-2002)/1)-2)^2+0.5*((($A10-2002)/1)-2)^3,IF($A10&lt;=2006,(4-(($A10-2002)/1))^3/6,0)))))</f>
        <v>0</v>
      </c>
      <c r="O10" s="16">
        <f>IF($A10&lt;=2003,0,IF($A10&lt;=2004,(($A10-2003)/1)^3/6,IF($A10&lt;=2005,2/3-((($A10-2003)/1)-2)^2-0.5*((($A10-2003)/1)-2)^3,IF($A10&lt;=2006,2/3-((($A10-2003)/1)-2)^2+0.5*((($A10-2003)/1)-2)^3,IF($A10&lt;=2007,(4-(($A10-2003)/1))^3/6,0)))))</f>
        <v>0</v>
      </c>
      <c r="P10" s="16">
        <f>SUMPRODUCT(D10:O10,$B$24:$M$24)</f>
        <v>-7.0611071190047099</v>
      </c>
      <c r="Q10" s="16">
        <f>C10-P10</f>
        <v>-0.057369768232080197</v>
      </c>
      <c r="R10" s="16">
        <f>Q10^2</f>
        <v>0.0032912903070026001</v>
      </c>
    </row>
    <row r="11">
      <c r="A11" s="15" t="n">
        <v>1998</v>
      </c>
      <c r="B11" s="16">
        <f>'M_70_t'!B5</f>
        <v>0.00097750974418243496</v>
      </c>
      <c r="C11" s="16">
        <f>LN(B11)</f>
        <v>-6.9305022976813602</v>
      </c>
      <c r="D11" s="16">
        <f>IF($A11&lt;=1992,0,IF($A11&lt;=1993,(($A11-1992)/1)^3/6,IF($A11&lt;=1994,2/3-((($A11-1992)/1)-2)^2-0.5*((($A11-1992)/1)-2)^3,IF($A11&lt;=1995,2/3-((($A11-1992)/1)-2)^2+0.5*((($A11-1992)/1)-2)^3,IF($A11&lt;=1996,(4-(($A11-1992)/1))^3/6,0)))))</f>
        <v>0</v>
      </c>
      <c r="E11" s="16">
        <f>IF($A11&lt;=1993,0,IF($A11&lt;=1994,(($A11-1993)/1)^3/6,IF($A11&lt;=1995,2/3-((($A11-1993)/1)-2)^2-0.5*((($A11-1993)/1)-2)^3,IF($A11&lt;=1996,2/3-((($A11-1993)/1)-2)^2+0.5*((($A11-1993)/1)-2)^3,IF($A11&lt;=1997,(4-(($A11-1993)/1))^3/6,0)))))</f>
        <v>0</v>
      </c>
      <c r="F11" s="16">
        <f>IF($A11&lt;=1994,0,IF($A11&lt;=1995,(($A11-1994)/1)^3/6,IF($A11&lt;=1996,2/3-((($A11-1994)/1)-2)^2-0.5*((($A11-1994)/1)-2)^3,IF($A11&lt;=1997,2/3-((($A11-1994)/1)-2)^2+0.5*((($A11-1994)/1)-2)^3,IF($A11&lt;=1998,(4-(($A11-1994)/1))^3/6,0)))))</f>
        <v>0</v>
      </c>
      <c r="G11" s="16">
        <f>IF($A11&lt;=1995,0,IF($A11&lt;=1996,(($A11-1995)/1)^3/6,IF($A11&lt;=1997,2/3-((($A11-1995)/1)-2)^2-0.5*((($A11-1995)/1)-2)^3,IF($A11&lt;=1998,2/3-((($A11-1995)/1)-2)^2+0.5*((($A11-1995)/1)-2)^3,IF($A11&lt;=1999,(4-(($A11-1995)/1))^3/6,0)))))</f>
        <v>0.16666666666666699</v>
      </c>
      <c r="H11" s="16">
        <f>IF($A11&lt;=1996,0,IF($A11&lt;=1997,(($A11-1996)/1)^3/6,IF($A11&lt;=1998,2/3-((($A11-1996)/1)-2)^2-0.5*((($A11-1996)/1)-2)^3,IF($A11&lt;=1999,2/3-((($A11-1996)/1)-2)^2+0.5*((($A11-1996)/1)-2)^3,IF($A11&lt;=2000,(4-(($A11-1996)/1))^3/6,0)))))</f>
        <v>0.66666666666666696</v>
      </c>
      <c r="I11" s="16">
        <f>IF($A11&lt;=1997,0,IF($A11&lt;=1998,(($A11-1997)/1)^3/6,IF($A11&lt;=1999,2/3-((($A11-1997)/1)-2)^2-0.5*((($A11-1997)/1)-2)^3,IF($A11&lt;=2000,2/3-((($A11-1997)/1)-2)^2+0.5*((($A11-1997)/1)-2)^3,IF($A11&lt;=2001,(4-(($A11-1997)/1))^3/6,0)))))</f>
        <v>0.16666666666666699</v>
      </c>
      <c r="J11" s="16">
        <f>IF($A11&lt;=1998,0,IF($A11&lt;=1999,(($A11-1998)/1)^3/6,IF($A11&lt;=2000,2/3-((($A11-1998)/1)-2)^2-0.5*((($A11-1998)/1)-2)^3,IF($A11&lt;=2001,2/3-((($A11-1998)/1)-2)^2+0.5*((($A11-1998)/1)-2)^3,IF($A11&lt;=2002,(4-(($A11-1998)/1))^3/6,0)))))</f>
        <v>0</v>
      </c>
      <c r="K11" s="16">
        <f>IF($A11&lt;=1999,0,IF($A11&lt;=2000,(($A11-1999)/1)^3/6,IF($A11&lt;=2001,2/3-((($A11-1999)/1)-2)^2-0.5*((($A11-1999)/1)-2)^3,IF($A11&lt;=2002,2/3-((($A11-1999)/1)-2)^2+0.5*((($A11-1999)/1)-2)^3,IF($A11&lt;=2003,(4-(($A11-1999)/1))^3/6,0)))))</f>
        <v>0</v>
      </c>
      <c r="L11" s="16">
        <f>IF($A11&lt;=2000,0,IF($A11&lt;=2001,(($A11-2000)/1)^3/6,IF($A11&lt;=2002,2/3-((($A11-2000)/1)-2)^2-0.5*((($A11-2000)/1)-2)^3,IF($A11&lt;=2003,2/3-((($A11-2000)/1)-2)^2+0.5*((($A11-2000)/1)-2)^3,IF($A11&lt;=2004,(4-(($A11-2000)/1))^3/6,0)))))</f>
        <v>0</v>
      </c>
      <c r="M11" s="16">
        <f>IF($A11&lt;=2001,0,IF($A11&lt;=2002,(($A11-2001)/1)^3/6,IF($A11&lt;=2003,2/3-((($A11-2001)/1)-2)^2-0.5*((($A11-2001)/1)-2)^3,IF($A11&lt;=2004,2/3-((($A11-2001)/1)-2)^2+0.5*((($A11-2001)/1)-2)^3,IF($A11&lt;=2005,(4-(($A11-2001)/1))^3/6,0)))))</f>
        <v>0</v>
      </c>
      <c r="N11" s="16">
        <f>IF($A11&lt;=2002,0,IF($A11&lt;=2003,(($A11-2002)/1)^3/6,IF($A11&lt;=2004,2/3-((($A11-2002)/1)-2)^2-0.5*((($A11-2002)/1)-2)^3,IF($A11&lt;=2005,2/3-((($A11-2002)/1)-2)^2+0.5*((($A11-2002)/1)-2)^3,IF($A11&lt;=2006,(4-(($A11-2002)/1))^3/6,0)))))</f>
        <v>0</v>
      </c>
      <c r="O11" s="16">
        <f>IF($A11&lt;=2003,0,IF($A11&lt;=2004,(($A11-2003)/1)^3/6,IF($A11&lt;=2005,2/3-((($A11-2003)/1)-2)^2-0.5*((($A11-2003)/1)-2)^3,IF($A11&lt;=2006,2/3-((($A11-2003)/1)-2)^2+0.5*((($A11-2003)/1)-2)^3,IF($A11&lt;=2007,(4-(($A11-2003)/1))^3/6,0)))))</f>
        <v>0</v>
      </c>
      <c r="P11" s="16">
        <f>SUMPRODUCT(D11:O11,$B$24:$M$24)</f>
        <v>-7.0301717337987704</v>
      </c>
      <c r="Q11" s="16">
        <f>C11-P11</f>
        <v>0.099669436117408403</v>
      </c>
      <c r="R11" s="16">
        <f>Q11^2</f>
        <v>0.0099339964959621607</v>
      </c>
    </row>
    <row r="12">
      <c r="A12" s="15" t="n">
        <v>1999</v>
      </c>
      <c r="B12" s="16">
        <f>'M_70_t'!B6</f>
        <v>0.00078849179100953001</v>
      </c>
      <c r="C12" s="16">
        <f>LN(B12)</f>
        <v>-7.1453885625100702</v>
      </c>
      <c r="D12" s="16">
        <f>IF($A12&lt;=1992,0,IF($A12&lt;=1993,(($A12-1992)/1)^3/6,IF($A12&lt;=1994,2/3-((($A12-1992)/1)-2)^2-0.5*((($A12-1992)/1)-2)^3,IF($A12&lt;=1995,2/3-((($A12-1992)/1)-2)^2+0.5*((($A12-1992)/1)-2)^3,IF($A12&lt;=1996,(4-(($A12-1992)/1))^3/6,0)))))</f>
        <v>0</v>
      </c>
      <c r="E12" s="16">
        <f>IF($A12&lt;=1993,0,IF($A12&lt;=1994,(($A12-1993)/1)^3/6,IF($A12&lt;=1995,2/3-((($A12-1993)/1)-2)^2-0.5*((($A12-1993)/1)-2)^3,IF($A12&lt;=1996,2/3-((($A12-1993)/1)-2)^2+0.5*((($A12-1993)/1)-2)^3,IF($A12&lt;=1997,(4-(($A12-1993)/1))^3/6,0)))))</f>
        <v>0</v>
      </c>
      <c r="F12" s="16">
        <f>IF($A12&lt;=1994,0,IF($A12&lt;=1995,(($A12-1994)/1)^3/6,IF($A12&lt;=1996,2/3-((($A12-1994)/1)-2)^2-0.5*((($A12-1994)/1)-2)^3,IF($A12&lt;=1997,2/3-((($A12-1994)/1)-2)^2+0.5*((($A12-1994)/1)-2)^3,IF($A12&lt;=1998,(4-(($A12-1994)/1))^3/6,0)))))</f>
        <v>0</v>
      </c>
      <c r="G12" s="16">
        <f>IF($A12&lt;=1995,0,IF($A12&lt;=1996,(($A12-1995)/1)^3/6,IF($A12&lt;=1997,2/3-((($A12-1995)/1)-2)^2-0.5*((($A12-1995)/1)-2)^3,IF($A12&lt;=1998,2/3-((($A12-1995)/1)-2)^2+0.5*((($A12-1995)/1)-2)^3,IF($A12&lt;=1999,(4-(($A12-1995)/1))^3/6,0)))))</f>
        <v>0</v>
      </c>
      <c r="H12" s="16">
        <f>IF($A12&lt;=1996,0,IF($A12&lt;=1997,(($A12-1996)/1)^3/6,IF($A12&lt;=1998,2/3-((($A12-1996)/1)-2)^2-0.5*((($A12-1996)/1)-2)^3,IF($A12&lt;=1999,2/3-((($A12-1996)/1)-2)^2+0.5*((($A12-1996)/1)-2)^3,IF($A12&lt;=2000,(4-(($A12-1996)/1))^3/6,0)))))</f>
        <v>0.16666666666666699</v>
      </c>
      <c r="I12" s="16">
        <f>IF($A12&lt;=1997,0,IF($A12&lt;=1998,(($A12-1997)/1)^3/6,IF($A12&lt;=1999,2/3-((($A12-1997)/1)-2)^2-0.5*((($A12-1997)/1)-2)^3,IF($A12&lt;=2000,2/3-((($A12-1997)/1)-2)^2+0.5*((($A12-1997)/1)-2)^3,IF($A12&lt;=2001,(4-(($A12-1997)/1))^3/6,0)))))</f>
        <v>0.66666666666666696</v>
      </c>
      <c r="J12" s="16">
        <f>IF($A12&lt;=1998,0,IF($A12&lt;=1999,(($A12-1998)/1)^3/6,IF($A12&lt;=2000,2/3-((($A12-1998)/1)-2)^2-0.5*((($A12-1998)/1)-2)^3,IF($A12&lt;=2001,2/3-((($A12-1998)/1)-2)^2+0.5*((($A12-1998)/1)-2)^3,IF($A12&lt;=2002,(4-(($A12-1998)/1))^3/6,0)))))</f>
        <v>0.16666666666666699</v>
      </c>
      <c r="K12" s="16">
        <f>IF($A12&lt;=1999,0,IF($A12&lt;=2000,(($A12-1999)/1)^3/6,IF($A12&lt;=2001,2/3-((($A12-1999)/1)-2)^2-0.5*((($A12-1999)/1)-2)^3,IF($A12&lt;=2002,2/3-((($A12-1999)/1)-2)^2+0.5*((($A12-1999)/1)-2)^3,IF($A12&lt;=2003,(4-(($A12-1999)/1))^3/6,0)))))</f>
        <v>0</v>
      </c>
      <c r="L12" s="16">
        <f>IF($A12&lt;=2000,0,IF($A12&lt;=2001,(($A12-2000)/1)^3/6,IF($A12&lt;=2002,2/3-((($A12-2000)/1)-2)^2-0.5*((($A12-2000)/1)-2)^3,IF($A12&lt;=2003,2/3-((($A12-2000)/1)-2)^2+0.5*((($A12-2000)/1)-2)^3,IF($A12&lt;=2004,(4-(($A12-2000)/1))^3/6,0)))))</f>
        <v>0</v>
      </c>
      <c r="M12" s="16">
        <f>IF($A12&lt;=2001,0,IF($A12&lt;=2002,(($A12-2001)/1)^3/6,IF($A12&lt;=2003,2/3-((($A12-2001)/1)-2)^2-0.5*((($A12-2001)/1)-2)^3,IF($A12&lt;=2004,2/3-((($A12-2001)/1)-2)^2+0.5*((($A12-2001)/1)-2)^3,IF($A12&lt;=2005,(4-(($A12-2001)/1))^3/6,0)))))</f>
        <v>0</v>
      </c>
      <c r="N12" s="16">
        <f>IF($A12&lt;=2002,0,IF($A12&lt;=2003,(($A12-2002)/1)^3/6,IF($A12&lt;=2004,2/3-((($A12-2002)/1)-2)^2-0.5*((($A12-2002)/1)-2)^3,IF($A12&lt;=2005,2/3-((($A12-2002)/1)-2)^2+0.5*((($A12-2002)/1)-2)^3,IF($A12&lt;=2006,(4-(($A12-2002)/1))^3/6,0)))))</f>
        <v>0</v>
      </c>
      <c r="O12" s="16">
        <f>IF($A12&lt;=2003,0,IF($A12&lt;=2004,(($A12-2003)/1)^3/6,IF($A12&lt;=2005,2/3-((($A12-2003)/1)-2)^2-0.5*((($A12-2003)/1)-2)^3,IF($A12&lt;=2006,2/3-((($A12-2003)/1)-2)^2+0.5*((($A12-2003)/1)-2)^3,IF($A12&lt;=2007,(4-(($A12-2003)/1))^3/6,0)))))</f>
        <v>0</v>
      </c>
      <c r="P12" s="16">
        <f>SUMPRODUCT(D12:O12,$B$24:$M$24)</f>
        <v>-7.0244769499369397</v>
      </c>
      <c r="Q12" s="16">
        <f>C12-P12</f>
        <v>-0.120911612573134</v>
      </c>
      <c r="R12" s="16">
        <f>Q12^2</f>
        <v>0.014619618055035701</v>
      </c>
    </row>
    <row r="13">
      <c r="A13" s="15" t="n">
        <v>2000</v>
      </c>
      <c r="B13" s="16">
        <f>'M_70_t'!B7</f>
        <v>0.00099667191302858196</v>
      </c>
      <c r="C13" s="16">
        <f>LN(B13)</f>
        <v>-6.9110889163532301</v>
      </c>
      <c r="D13" s="16">
        <f>IF($A13&lt;=1992,0,IF($A13&lt;=1993,(($A13-1992)/1)^3/6,IF($A13&lt;=1994,2/3-((($A13-1992)/1)-2)^2-0.5*((($A13-1992)/1)-2)^3,IF($A13&lt;=1995,2/3-((($A13-1992)/1)-2)^2+0.5*((($A13-1992)/1)-2)^3,IF($A13&lt;=1996,(4-(($A13-1992)/1))^3/6,0)))))</f>
        <v>0</v>
      </c>
      <c r="E13" s="16">
        <f>IF($A13&lt;=1993,0,IF($A13&lt;=1994,(($A13-1993)/1)^3/6,IF($A13&lt;=1995,2/3-((($A13-1993)/1)-2)^2-0.5*((($A13-1993)/1)-2)^3,IF($A13&lt;=1996,2/3-((($A13-1993)/1)-2)^2+0.5*((($A13-1993)/1)-2)^3,IF($A13&lt;=1997,(4-(($A13-1993)/1))^3/6,0)))))</f>
        <v>0</v>
      </c>
      <c r="F13" s="16">
        <f>IF($A13&lt;=1994,0,IF($A13&lt;=1995,(($A13-1994)/1)^3/6,IF($A13&lt;=1996,2/3-((($A13-1994)/1)-2)^2-0.5*((($A13-1994)/1)-2)^3,IF($A13&lt;=1997,2/3-((($A13-1994)/1)-2)^2+0.5*((($A13-1994)/1)-2)^3,IF($A13&lt;=1998,(4-(($A13-1994)/1))^3/6,0)))))</f>
        <v>0</v>
      </c>
      <c r="G13" s="16">
        <f>IF($A13&lt;=1995,0,IF($A13&lt;=1996,(($A13-1995)/1)^3/6,IF($A13&lt;=1997,2/3-((($A13-1995)/1)-2)^2-0.5*((($A13-1995)/1)-2)^3,IF($A13&lt;=1998,2/3-((($A13-1995)/1)-2)^2+0.5*((($A13-1995)/1)-2)^3,IF($A13&lt;=1999,(4-(($A13-1995)/1))^3/6,0)))))</f>
        <v>0</v>
      </c>
      <c r="H13" s="16">
        <f>IF($A13&lt;=1996,0,IF($A13&lt;=1997,(($A13-1996)/1)^3/6,IF($A13&lt;=1998,2/3-((($A13-1996)/1)-2)^2-0.5*((($A13-1996)/1)-2)^3,IF($A13&lt;=1999,2/3-((($A13-1996)/1)-2)^2+0.5*((($A13-1996)/1)-2)^3,IF($A13&lt;=2000,(4-(($A13-1996)/1))^3/6,0)))))</f>
        <v>0</v>
      </c>
      <c r="I13" s="16">
        <f>IF($A13&lt;=1997,0,IF($A13&lt;=1998,(($A13-1997)/1)^3/6,IF($A13&lt;=1999,2/3-((($A13-1997)/1)-2)^2-0.5*((($A13-1997)/1)-2)^3,IF($A13&lt;=2000,2/3-((($A13-1997)/1)-2)^2+0.5*((($A13-1997)/1)-2)^3,IF($A13&lt;=2001,(4-(($A13-1997)/1))^3/6,0)))))</f>
        <v>0.16666666666666699</v>
      </c>
      <c r="J13" s="16">
        <f>IF($A13&lt;=1998,0,IF($A13&lt;=1999,(($A13-1998)/1)^3/6,IF($A13&lt;=2000,2/3-((($A13-1998)/1)-2)^2-0.5*((($A13-1998)/1)-2)^3,IF($A13&lt;=2001,2/3-((($A13-1998)/1)-2)^2+0.5*((($A13-1998)/1)-2)^3,IF($A13&lt;=2002,(4-(($A13-1998)/1))^3/6,0)))))</f>
        <v>0.66666666666666696</v>
      </c>
      <c r="K13" s="16">
        <f>IF($A13&lt;=1999,0,IF($A13&lt;=2000,(($A13-1999)/1)^3/6,IF($A13&lt;=2001,2/3-((($A13-1999)/1)-2)^2-0.5*((($A13-1999)/1)-2)^3,IF($A13&lt;=2002,2/3-((($A13-1999)/1)-2)^2+0.5*((($A13-1999)/1)-2)^3,IF($A13&lt;=2003,(4-(($A13-1999)/1))^3/6,0)))))</f>
        <v>0.16666666666666699</v>
      </c>
      <c r="L13" s="16">
        <f>IF($A13&lt;=2000,0,IF($A13&lt;=2001,(($A13-2000)/1)^3/6,IF($A13&lt;=2002,2/3-((($A13-2000)/1)-2)^2-0.5*((($A13-2000)/1)-2)^3,IF($A13&lt;=2003,2/3-((($A13-2000)/1)-2)^2+0.5*((($A13-2000)/1)-2)^3,IF($A13&lt;=2004,(4-(($A13-2000)/1))^3/6,0)))))</f>
        <v>0</v>
      </c>
      <c r="M13" s="16">
        <f>IF($A13&lt;=2001,0,IF($A13&lt;=2002,(($A13-2001)/1)^3/6,IF($A13&lt;=2003,2/3-((($A13-2001)/1)-2)^2-0.5*((($A13-2001)/1)-2)^3,IF($A13&lt;=2004,2/3-((($A13-2001)/1)-2)^2+0.5*((($A13-2001)/1)-2)^3,IF($A13&lt;=2005,(4-(($A13-2001)/1))^3/6,0)))))</f>
        <v>0</v>
      </c>
      <c r="N13" s="16">
        <f>IF($A13&lt;=2002,0,IF($A13&lt;=2003,(($A13-2002)/1)^3/6,IF($A13&lt;=2004,2/3-((($A13-2002)/1)-2)^2-0.5*((($A13-2002)/1)-2)^3,IF($A13&lt;=2005,2/3-((($A13-2002)/1)-2)^2+0.5*((($A13-2002)/1)-2)^3,IF($A13&lt;=2006,(4-(($A13-2002)/1))^3/6,0)))))</f>
        <v>0</v>
      </c>
      <c r="O13" s="16">
        <f>IF($A13&lt;=2003,0,IF($A13&lt;=2004,(($A13-2003)/1)^3/6,IF($A13&lt;=2005,2/3-((($A13-2003)/1)-2)^2-0.5*((($A13-2003)/1)-2)^3,IF($A13&lt;=2006,2/3-((($A13-2003)/1)-2)^2+0.5*((($A13-2003)/1)-2)^3,IF($A13&lt;=2007,(4-(($A13-2003)/1))^3/6,0)))))</f>
        <v>0</v>
      </c>
      <c r="P13" s="16">
        <f>SUMPRODUCT(D13:O13,$B$24:$M$24)</f>
        <v>-7.05266312024591</v>
      </c>
      <c r="Q13" s="16">
        <f>C13-P13</f>
        <v>0.14157420389268</v>
      </c>
      <c r="R13" s="16">
        <f>Q13^2</f>
        <v>0.020043255207846101</v>
      </c>
    </row>
    <row r="14">
      <c r="A14" s="15" t="n">
        <v>2001</v>
      </c>
      <c r="B14" s="16">
        <f>'M_70_t'!B8</f>
        <v>0.00075112817897161302</v>
      </c>
      <c r="C14" s="16">
        <f>LN(B14)</f>
        <v>-7.1939342430387399</v>
      </c>
      <c r="D14" s="16">
        <f>IF($A14&lt;=1992,0,IF($A14&lt;=1993,(($A14-1992)/1)^3/6,IF($A14&lt;=1994,2/3-((($A14-1992)/1)-2)^2-0.5*((($A14-1992)/1)-2)^3,IF($A14&lt;=1995,2/3-((($A14-1992)/1)-2)^2+0.5*((($A14-1992)/1)-2)^3,IF($A14&lt;=1996,(4-(($A14-1992)/1))^3/6,0)))))</f>
        <v>0</v>
      </c>
      <c r="E14" s="16">
        <f>IF($A14&lt;=1993,0,IF($A14&lt;=1994,(($A14-1993)/1)^3/6,IF($A14&lt;=1995,2/3-((($A14-1993)/1)-2)^2-0.5*((($A14-1993)/1)-2)^3,IF($A14&lt;=1996,2/3-((($A14-1993)/1)-2)^2+0.5*((($A14-1993)/1)-2)^3,IF($A14&lt;=1997,(4-(($A14-1993)/1))^3/6,0)))))</f>
        <v>0</v>
      </c>
      <c r="F14" s="16">
        <f>IF($A14&lt;=1994,0,IF($A14&lt;=1995,(($A14-1994)/1)^3/6,IF($A14&lt;=1996,2/3-((($A14-1994)/1)-2)^2-0.5*((($A14-1994)/1)-2)^3,IF($A14&lt;=1997,2/3-((($A14-1994)/1)-2)^2+0.5*((($A14-1994)/1)-2)^3,IF($A14&lt;=1998,(4-(($A14-1994)/1))^3/6,0)))))</f>
        <v>0</v>
      </c>
      <c r="G14" s="16">
        <f>IF($A14&lt;=1995,0,IF($A14&lt;=1996,(($A14-1995)/1)^3/6,IF($A14&lt;=1997,2/3-((($A14-1995)/1)-2)^2-0.5*((($A14-1995)/1)-2)^3,IF($A14&lt;=1998,2/3-((($A14-1995)/1)-2)^2+0.5*((($A14-1995)/1)-2)^3,IF($A14&lt;=1999,(4-(($A14-1995)/1))^3/6,0)))))</f>
        <v>0</v>
      </c>
      <c r="H14" s="16">
        <f>IF($A14&lt;=1996,0,IF($A14&lt;=1997,(($A14-1996)/1)^3/6,IF($A14&lt;=1998,2/3-((($A14-1996)/1)-2)^2-0.5*((($A14-1996)/1)-2)^3,IF($A14&lt;=1999,2/3-((($A14-1996)/1)-2)^2+0.5*((($A14-1996)/1)-2)^3,IF($A14&lt;=2000,(4-(($A14-1996)/1))^3/6,0)))))</f>
        <v>0</v>
      </c>
      <c r="I14" s="16">
        <f>IF($A14&lt;=1997,0,IF($A14&lt;=1998,(($A14-1997)/1)^3/6,IF($A14&lt;=1999,2/3-((($A14-1997)/1)-2)^2-0.5*((($A14-1997)/1)-2)^3,IF($A14&lt;=2000,2/3-((($A14-1997)/1)-2)^2+0.5*((($A14-1997)/1)-2)^3,IF($A14&lt;=2001,(4-(($A14-1997)/1))^3/6,0)))))</f>
        <v>0</v>
      </c>
      <c r="J14" s="16">
        <f>IF($A14&lt;=1998,0,IF($A14&lt;=1999,(($A14-1998)/1)^3/6,IF($A14&lt;=2000,2/3-((($A14-1998)/1)-2)^2-0.5*((($A14-1998)/1)-2)^3,IF($A14&lt;=2001,2/3-((($A14-1998)/1)-2)^2+0.5*((($A14-1998)/1)-2)^3,IF($A14&lt;=2002,(4-(($A14-1998)/1))^3/6,0)))))</f>
        <v>0.16666666666666699</v>
      </c>
      <c r="K14" s="16">
        <f>IF($A14&lt;=1999,0,IF($A14&lt;=2000,(($A14-1999)/1)^3/6,IF($A14&lt;=2001,2/3-((($A14-1999)/1)-2)^2-0.5*((($A14-1999)/1)-2)^3,IF($A14&lt;=2002,2/3-((($A14-1999)/1)-2)^2+0.5*((($A14-1999)/1)-2)^3,IF($A14&lt;=2003,(4-(($A14-1999)/1))^3/6,0)))))</f>
        <v>0.66666666666666696</v>
      </c>
      <c r="L14" s="16">
        <f>IF($A14&lt;=2000,0,IF($A14&lt;=2001,(($A14-2000)/1)^3/6,IF($A14&lt;=2002,2/3-((($A14-2000)/1)-2)^2-0.5*((($A14-2000)/1)-2)^3,IF($A14&lt;=2003,2/3-((($A14-2000)/1)-2)^2+0.5*((($A14-2000)/1)-2)^3,IF($A14&lt;=2004,(4-(($A14-2000)/1))^3/6,0)))))</f>
        <v>0.16666666666666699</v>
      </c>
      <c r="M14" s="16">
        <f>IF($A14&lt;=2001,0,IF($A14&lt;=2002,(($A14-2001)/1)^3/6,IF($A14&lt;=2003,2/3-((($A14-2001)/1)-2)^2-0.5*((($A14-2001)/1)-2)^3,IF($A14&lt;=2004,2/3-((($A14-2001)/1)-2)^2+0.5*((($A14-2001)/1)-2)^3,IF($A14&lt;=2005,(4-(($A14-2001)/1))^3/6,0)))))</f>
        <v>0</v>
      </c>
      <c r="N14" s="16">
        <f>IF($A14&lt;=2002,0,IF($A14&lt;=2003,(($A14-2002)/1)^3/6,IF($A14&lt;=2004,2/3-((($A14-2002)/1)-2)^2-0.5*((($A14-2002)/1)-2)^3,IF($A14&lt;=2005,2/3-((($A14-2002)/1)-2)^2+0.5*((($A14-2002)/1)-2)^3,IF($A14&lt;=2006,(4-(($A14-2002)/1))^3/6,0)))))</f>
        <v>0</v>
      </c>
      <c r="O14" s="16">
        <f>IF($A14&lt;=2003,0,IF($A14&lt;=2004,(($A14-2003)/1)^3/6,IF($A14&lt;=2005,2/3-((($A14-2003)/1)-2)^2-0.5*((($A14-2003)/1)-2)^3,IF($A14&lt;=2006,2/3-((($A14-2003)/1)-2)^2+0.5*((($A14-2003)/1)-2)^3,IF($A14&lt;=2007,(4-(($A14-2003)/1))^3/6,0)))))</f>
        <v>0</v>
      </c>
      <c r="P14" s="16">
        <f>SUMPRODUCT(D14:O14,$B$24:$M$24)</f>
        <v>-7.1430755091289004</v>
      </c>
      <c r="Q14" s="16">
        <f>C14-P14</f>
        <v>-0.050858733909843003</v>
      </c>
      <c r="R14" s="16">
        <f>Q14^2</f>
        <v>0.0025866108149122098</v>
      </c>
    </row>
    <row r="15">
      <c r="A15" s="15" t="n">
        <v>2002</v>
      </c>
      <c r="B15" s="16">
        <f>'M_70_t'!B9</f>
        <v>0.00070428750137965703</v>
      </c>
      <c r="C15" s="16">
        <f>LN(B15)</f>
        <v>-7.2583239025301696</v>
      </c>
      <c r="D15" s="16">
        <f>IF($A15&lt;=1992,0,IF($A15&lt;=1993,(($A15-1992)/1)^3/6,IF($A15&lt;=1994,2/3-((($A15-1992)/1)-2)^2-0.5*((($A15-1992)/1)-2)^3,IF($A15&lt;=1995,2/3-((($A15-1992)/1)-2)^2+0.5*((($A15-1992)/1)-2)^3,IF($A15&lt;=1996,(4-(($A15-1992)/1))^3/6,0)))))</f>
        <v>0</v>
      </c>
      <c r="E15" s="16">
        <f>IF($A15&lt;=1993,0,IF($A15&lt;=1994,(($A15-1993)/1)^3/6,IF($A15&lt;=1995,2/3-((($A15-1993)/1)-2)^2-0.5*((($A15-1993)/1)-2)^3,IF($A15&lt;=1996,2/3-((($A15-1993)/1)-2)^2+0.5*((($A15-1993)/1)-2)^3,IF($A15&lt;=1997,(4-(($A15-1993)/1))^3/6,0)))))</f>
        <v>0</v>
      </c>
      <c r="F15" s="16">
        <f>IF($A15&lt;=1994,0,IF($A15&lt;=1995,(($A15-1994)/1)^3/6,IF($A15&lt;=1996,2/3-((($A15-1994)/1)-2)^2-0.5*((($A15-1994)/1)-2)^3,IF($A15&lt;=1997,2/3-((($A15-1994)/1)-2)^2+0.5*((($A15-1994)/1)-2)^3,IF($A15&lt;=1998,(4-(($A15-1994)/1))^3/6,0)))))</f>
        <v>0</v>
      </c>
      <c r="G15" s="16">
        <f>IF($A15&lt;=1995,0,IF($A15&lt;=1996,(($A15-1995)/1)^3/6,IF($A15&lt;=1997,2/3-((($A15-1995)/1)-2)^2-0.5*((($A15-1995)/1)-2)^3,IF($A15&lt;=1998,2/3-((($A15-1995)/1)-2)^2+0.5*((($A15-1995)/1)-2)^3,IF($A15&lt;=1999,(4-(($A15-1995)/1))^3/6,0)))))</f>
        <v>0</v>
      </c>
      <c r="H15" s="16">
        <f>IF($A15&lt;=1996,0,IF($A15&lt;=1997,(($A15-1996)/1)^3/6,IF($A15&lt;=1998,2/3-((($A15-1996)/1)-2)^2-0.5*((($A15-1996)/1)-2)^3,IF($A15&lt;=1999,2/3-((($A15-1996)/1)-2)^2+0.5*((($A15-1996)/1)-2)^3,IF($A15&lt;=2000,(4-(($A15-1996)/1))^3/6,0)))))</f>
        <v>0</v>
      </c>
      <c r="I15" s="16">
        <f>IF($A15&lt;=1997,0,IF($A15&lt;=1998,(($A15-1997)/1)^3/6,IF($A15&lt;=1999,2/3-((($A15-1997)/1)-2)^2-0.5*((($A15-1997)/1)-2)^3,IF($A15&lt;=2000,2/3-((($A15-1997)/1)-2)^2+0.5*((($A15-1997)/1)-2)^3,IF($A15&lt;=2001,(4-(($A15-1997)/1))^3/6,0)))))</f>
        <v>0</v>
      </c>
      <c r="J15" s="16">
        <f>IF($A15&lt;=1998,0,IF($A15&lt;=1999,(($A15-1998)/1)^3/6,IF($A15&lt;=2000,2/3-((($A15-1998)/1)-2)^2-0.5*((($A15-1998)/1)-2)^3,IF($A15&lt;=2001,2/3-((($A15-1998)/1)-2)^2+0.5*((($A15-1998)/1)-2)^3,IF($A15&lt;=2002,(4-(($A15-1998)/1))^3/6,0)))))</f>
        <v>0</v>
      </c>
      <c r="K15" s="16">
        <f>IF($A15&lt;=1999,0,IF($A15&lt;=2000,(($A15-1999)/1)^3/6,IF($A15&lt;=2001,2/3-((($A15-1999)/1)-2)^2-0.5*((($A15-1999)/1)-2)^3,IF($A15&lt;=2002,2/3-((($A15-1999)/1)-2)^2+0.5*((($A15-1999)/1)-2)^3,IF($A15&lt;=2003,(4-(($A15-1999)/1))^3/6,0)))))</f>
        <v>0.16666666666666699</v>
      </c>
      <c r="L15" s="16">
        <f>IF($A15&lt;=2000,0,IF($A15&lt;=2001,(($A15-2000)/1)^3/6,IF($A15&lt;=2002,2/3-((($A15-2000)/1)-2)^2-0.5*((($A15-2000)/1)-2)^3,IF($A15&lt;=2003,2/3-((($A15-2000)/1)-2)^2+0.5*((($A15-2000)/1)-2)^3,IF($A15&lt;=2004,(4-(($A15-2000)/1))^3/6,0)))))</f>
        <v>0.66666666666666696</v>
      </c>
      <c r="M15" s="16">
        <f>IF($A15&lt;=2001,0,IF($A15&lt;=2002,(($A15-2001)/1)^3/6,IF($A15&lt;=2003,2/3-((($A15-2001)/1)-2)^2-0.5*((($A15-2001)/1)-2)^3,IF($A15&lt;=2004,2/3-((($A15-2001)/1)-2)^2+0.5*((($A15-2001)/1)-2)^3,IF($A15&lt;=2005,(4-(($A15-2001)/1))^3/6,0)))))</f>
        <v>0.16666666666666699</v>
      </c>
      <c r="N15" s="16">
        <f>IF($A15&lt;=2002,0,IF($A15&lt;=2003,(($A15-2002)/1)^3/6,IF($A15&lt;=2004,2/3-((($A15-2002)/1)-2)^2-0.5*((($A15-2002)/1)-2)^3,IF($A15&lt;=2005,2/3-((($A15-2002)/1)-2)^2+0.5*((($A15-2002)/1)-2)^3,IF($A15&lt;=2006,(4-(($A15-2002)/1))^3/6,0)))))</f>
        <v>0</v>
      </c>
      <c r="O15" s="16">
        <f>IF($A15&lt;=2003,0,IF($A15&lt;=2004,(($A15-2003)/1)^3/6,IF($A15&lt;=2005,2/3-((($A15-2003)/1)-2)^2-0.5*((($A15-2003)/1)-2)^3,IF($A15&lt;=2006,2/3-((($A15-2003)/1)-2)^2+0.5*((($A15-2003)/1)-2)^3,IF($A15&lt;=2007,(4-(($A15-2003)/1))^3/6,0)))))</f>
        <v>0</v>
      </c>
      <c r="P15" s="16">
        <f>SUMPRODUCT(D15:O15,$B$24:$M$24)</f>
        <v>-7.2535552855796102</v>
      </c>
      <c r="Q15" s="16">
        <f>C15-P15</f>
        <v>-0.0047686169505620803</v>
      </c>
      <c r="R15" s="16">
        <f>Q15^2</f>
        <v>2.2739707621188001e-05</v>
      </c>
    </row>
    <row r="16">
      <c r="A16" s="15" t="n">
        <v>2003</v>
      </c>
      <c r="B16" s="16">
        <f>'M_70_t'!B10</f>
        <v>0.00062560881810524603</v>
      </c>
      <c r="C16" s="16">
        <f>LN(B16)</f>
        <v>-7.3767852733957398</v>
      </c>
      <c r="D16" s="16">
        <f>IF($A16&lt;=1992,0,IF($A16&lt;=1993,(($A16-1992)/1)^3/6,IF($A16&lt;=1994,2/3-((($A16-1992)/1)-2)^2-0.5*((($A16-1992)/1)-2)^3,IF($A16&lt;=1995,2/3-((($A16-1992)/1)-2)^2+0.5*((($A16-1992)/1)-2)^3,IF($A16&lt;=1996,(4-(($A16-1992)/1))^3/6,0)))))</f>
        <v>0</v>
      </c>
      <c r="E16" s="16">
        <f>IF($A16&lt;=1993,0,IF($A16&lt;=1994,(($A16-1993)/1)^3/6,IF($A16&lt;=1995,2/3-((($A16-1993)/1)-2)^2-0.5*((($A16-1993)/1)-2)^3,IF($A16&lt;=1996,2/3-((($A16-1993)/1)-2)^2+0.5*((($A16-1993)/1)-2)^3,IF($A16&lt;=1997,(4-(($A16-1993)/1))^3/6,0)))))</f>
        <v>0</v>
      </c>
      <c r="F16" s="16">
        <f>IF($A16&lt;=1994,0,IF($A16&lt;=1995,(($A16-1994)/1)^3/6,IF($A16&lt;=1996,2/3-((($A16-1994)/1)-2)^2-0.5*((($A16-1994)/1)-2)^3,IF($A16&lt;=1997,2/3-((($A16-1994)/1)-2)^2+0.5*((($A16-1994)/1)-2)^3,IF($A16&lt;=1998,(4-(($A16-1994)/1))^3/6,0)))))</f>
        <v>0</v>
      </c>
      <c r="G16" s="16">
        <f>IF($A16&lt;=1995,0,IF($A16&lt;=1996,(($A16-1995)/1)^3/6,IF($A16&lt;=1997,2/3-((($A16-1995)/1)-2)^2-0.5*((($A16-1995)/1)-2)^3,IF($A16&lt;=1998,2/3-((($A16-1995)/1)-2)^2+0.5*((($A16-1995)/1)-2)^3,IF($A16&lt;=1999,(4-(($A16-1995)/1))^3/6,0)))))</f>
        <v>0</v>
      </c>
      <c r="H16" s="16">
        <f>IF($A16&lt;=1996,0,IF($A16&lt;=1997,(($A16-1996)/1)^3/6,IF($A16&lt;=1998,2/3-((($A16-1996)/1)-2)^2-0.5*((($A16-1996)/1)-2)^3,IF($A16&lt;=1999,2/3-((($A16-1996)/1)-2)^2+0.5*((($A16-1996)/1)-2)^3,IF($A16&lt;=2000,(4-(($A16-1996)/1))^3/6,0)))))</f>
        <v>0</v>
      </c>
      <c r="I16" s="16">
        <f>IF($A16&lt;=1997,0,IF($A16&lt;=1998,(($A16-1997)/1)^3/6,IF($A16&lt;=1999,2/3-((($A16-1997)/1)-2)^2-0.5*((($A16-1997)/1)-2)^3,IF($A16&lt;=2000,2/3-((($A16-1997)/1)-2)^2+0.5*((($A16-1997)/1)-2)^3,IF($A16&lt;=2001,(4-(($A16-1997)/1))^3/6,0)))))</f>
        <v>0</v>
      </c>
      <c r="J16" s="16">
        <f>IF($A16&lt;=1998,0,IF($A16&lt;=1999,(($A16-1998)/1)^3/6,IF($A16&lt;=2000,2/3-((($A16-1998)/1)-2)^2-0.5*((($A16-1998)/1)-2)^3,IF($A16&lt;=2001,2/3-((($A16-1998)/1)-2)^2+0.5*((($A16-1998)/1)-2)^3,IF($A16&lt;=2002,(4-(($A16-1998)/1))^3/6,0)))))</f>
        <v>0</v>
      </c>
      <c r="K16" s="16">
        <f>IF($A16&lt;=1999,0,IF($A16&lt;=2000,(($A16-1999)/1)^3/6,IF($A16&lt;=2001,2/3-((($A16-1999)/1)-2)^2-0.5*((($A16-1999)/1)-2)^3,IF($A16&lt;=2002,2/3-((($A16-1999)/1)-2)^2+0.5*((($A16-1999)/1)-2)^3,IF($A16&lt;=2003,(4-(($A16-1999)/1))^3/6,0)))))</f>
        <v>0</v>
      </c>
      <c r="L16" s="16">
        <f>IF($A16&lt;=2000,0,IF($A16&lt;=2001,(($A16-2000)/1)^3/6,IF($A16&lt;=2002,2/3-((($A16-2000)/1)-2)^2-0.5*((($A16-2000)/1)-2)^3,IF($A16&lt;=2003,2/3-((($A16-2000)/1)-2)^2+0.5*((($A16-2000)/1)-2)^3,IF($A16&lt;=2004,(4-(($A16-2000)/1))^3/6,0)))))</f>
        <v>0.16666666666666699</v>
      </c>
      <c r="M16" s="16">
        <f>IF($A16&lt;=2001,0,IF($A16&lt;=2002,(($A16-2001)/1)^3/6,IF($A16&lt;=2003,2/3-((($A16-2001)/1)-2)^2-0.5*((($A16-2001)/1)-2)^3,IF($A16&lt;=2004,2/3-((($A16-2001)/1)-2)^2+0.5*((($A16-2001)/1)-2)^3,IF($A16&lt;=2005,(4-(($A16-2001)/1))^3/6,0)))))</f>
        <v>0.66666666666666696</v>
      </c>
      <c r="N16" s="16">
        <f>IF($A16&lt;=2002,0,IF($A16&lt;=2003,(($A16-2002)/1)^3/6,IF($A16&lt;=2004,2/3-((($A16-2002)/1)-2)^2-0.5*((($A16-2002)/1)-2)^3,IF($A16&lt;=2005,2/3-((($A16-2002)/1)-2)^2+0.5*((($A16-2002)/1)-2)^3,IF($A16&lt;=2006,(4-(($A16-2002)/1))^3/6,0)))))</f>
        <v>0.16666666666666699</v>
      </c>
      <c r="O16" s="16">
        <f>IF($A16&lt;=2003,0,IF($A16&lt;=2004,(($A16-2003)/1)^3/6,IF($A16&lt;=2005,2/3-((($A16-2003)/1)-2)^2-0.5*((($A16-2003)/1)-2)^3,IF($A16&lt;=2006,2/3-((($A16-2003)/1)-2)^2+0.5*((($A16-2003)/1)-2)^3,IF($A16&lt;=2007,(4-(($A16-2003)/1))^3/6,0)))))</f>
        <v>0</v>
      </c>
      <c r="P16" s="16">
        <f>SUMPRODUCT(D16:O16,$B$24:$M$24)</f>
        <v>-7.3407207650242299</v>
      </c>
      <c r="Q16" s="16">
        <f>C16-P16</f>
        <v>-0.036064508371509901</v>
      </c>
      <c r="R16" s="16">
        <f>Q16^2</f>
        <v>0.00130064876407871</v>
      </c>
    </row>
    <row r="17">
      <c r="A17" s="15" t="n">
        <v>2004</v>
      </c>
      <c r="B17" s="16">
        <f>'M_70_t'!B11</f>
        <v>0.00063014139456242795</v>
      </c>
      <c r="C17" s="16">
        <f>LN(B17)</f>
        <v>-7.3695663279472701</v>
      </c>
      <c r="D17" s="16">
        <f>IF($A17&lt;=1992,0,IF($A17&lt;=1993,(($A17-1992)/1)^3/6,IF($A17&lt;=1994,2/3-((($A17-1992)/1)-2)^2-0.5*((($A17-1992)/1)-2)^3,IF($A17&lt;=1995,2/3-((($A17-1992)/1)-2)^2+0.5*((($A17-1992)/1)-2)^3,IF($A17&lt;=1996,(4-(($A17-1992)/1))^3/6,0)))))</f>
        <v>0</v>
      </c>
      <c r="E17" s="16">
        <f>IF($A17&lt;=1993,0,IF($A17&lt;=1994,(($A17-1993)/1)^3/6,IF($A17&lt;=1995,2/3-((($A17-1993)/1)-2)^2-0.5*((($A17-1993)/1)-2)^3,IF($A17&lt;=1996,2/3-((($A17-1993)/1)-2)^2+0.5*((($A17-1993)/1)-2)^3,IF($A17&lt;=1997,(4-(($A17-1993)/1))^3/6,0)))))</f>
        <v>0</v>
      </c>
      <c r="F17" s="16">
        <f>IF($A17&lt;=1994,0,IF($A17&lt;=1995,(($A17-1994)/1)^3/6,IF($A17&lt;=1996,2/3-((($A17-1994)/1)-2)^2-0.5*((($A17-1994)/1)-2)^3,IF($A17&lt;=1997,2/3-((($A17-1994)/1)-2)^2+0.5*((($A17-1994)/1)-2)^3,IF($A17&lt;=1998,(4-(($A17-1994)/1))^3/6,0)))))</f>
        <v>0</v>
      </c>
      <c r="G17" s="16">
        <f>IF($A17&lt;=1995,0,IF($A17&lt;=1996,(($A17-1995)/1)^3/6,IF($A17&lt;=1997,2/3-((($A17-1995)/1)-2)^2-0.5*((($A17-1995)/1)-2)^3,IF($A17&lt;=1998,2/3-((($A17-1995)/1)-2)^2+0.5*((($A17-1995)/1)-2)^3,IF($A17&lt;=1999,(4-(($A17-1995)/1))^3/6,0)))))</f>
        <v>0</v>
      </c>
      <c r="H17" s="16">
        <f>IF($A17&lt;=1996,0,IF($A17&lt;=1997,(($A17-1996)/1)^3/6,IF($A17&lt;=1998,2/3-((($A17-1996)/1)-2)^2-0.5*((($A17-1996)/1)-2)^3,IF($A17&lt;=1999,2/3-((($A17-1996)/1)-2)^2+0.5*((($A17-1996)/1)-2)^3,IF($A17&lt;=2000,(4-(($A17-1996)/1))^3/6,0)))))</f>
        <v>0</v>
      </c>
      <c r="I17" s="16">
        <f>IF($A17&lt;=1997,0,IF($A17&lt;=1998,(($A17-1997)/1)^3/6,IF($A17&lt;=1999,2/3-((($A17-1997)/1)-2)^2-0.5*((($A17-1997)/1)-2)^3,IF($A17&lt;=2000,2/3-((($A17-1997)/1)-2)^2+0.5*((($A17-1997)/1)-2)^3,IF($A17&lt;=2001,(4-(($A17-1997)/1))^3/6,0)))))</f>
        <v>0</v>
      </c>
      <c r="J17" s="16">
        <f>IF($A17&lt;=1998,0,IF($A17&lt;=1999,(($A17-1998)/1)^3/6,IF($A17&lt;=2000,2/3-((($A17-1998)/1)-2)^2-0.5*((($A17-1998)/1)-2)^3,IF($A17&lt;=2001,2/3-((($A17-1998)/1)-2)^2+0.5*((($A17-1998)/1)-2)^3,IF($A17&lt;=2002,(4-(($A17-1998)/1))^3/6,0)))))</f>
        <v>0</v>
      </c>
      <c r="K17" s="16">
        <f>IF($A17&lt;=1999,0,IF($A17&lt;=2000,(($A17-1999)/1)^3/6,IF($A17&lt;=2001,2/3-((($A17-1999)/1)-2)^2-0.5*((($A17-1999)/1)-2)^3,IF($A17&lt;=2002,2/3-((($A17-1999)/1)-2)^2+0.5*((($A17-1999)/1)-2)^3,IF($A17&lt;=2003,(4-(($A17-1999)/1))^3/6,0)))))</f>
        <v>0</v>
      </c>
      <c r="L17" s="16">
        <f>IF($A17&lt;=2000,0,IF($A17&lt;=2001,(($A17-2000)/1)^3/6,IF($A17&lt;=2002,2/3-((($A17-2000)/1)-2)^2-0.5*((($A17-2000)/1)-2)^3,IF($A17&lt;=2003,2/3-((($A17-2000)/1)-2)^2+0.5*((($A17-2000)/1)-2)^3,IF($A17&lt;=2004,(4-(($A17-2000)/1))^3/6,0)))))</f>
        <v>0</v>
      </c>
      <c r="M17" s="16">
        <f>IF($A17&lt;=2001,0,IF($A17&lt;=2002,(($A17-2001)/1)^3/6,IF($A17&lt;=2003,2/3-((($A17-2001)/1)-2)^2-0.5*((($A17-2001)/1)-2)^3,IF($A17&lt;=2004,2/3-((($A17-2001)/1)-2)^2+0.5*((($A17-2001)/1)-2)^3,IF($A17&lt;=2005,(4-(($A17-2001)/1))^3/6,0)))))</f>
        <v>0.16666666666666699</v>
      </c>
      <c r="N17" s="16">
        <f>IF($A17&lt;=2002,0,IF($A17&lt;=2003,(($A17-2002)/1)^3/6,IF($A17&lt;=2004,2/3-((($A17-2002)/1)-2)^2-0.5*((($A17-2002)/1)-2)^3,IF($A17&lt;=2005,2/3-((($A17-2002)/1)-2)^2+0.5*((($A17-2002)/1)-2)^3,IF($A17&lt;=2006,(4-(($A17-2002)/1))^3/6,0)))))</f>
        <v>0.66666666666666696</v>
      </c>
      <c r="O17" s="16">
        <f>IF($A17&lt;=2003,0,IF($A17&lt;=2004,(($A17-2003)/1)^3/6,IF($A17&lt;=2005,2/3-((($A17-2003)/1)-2)^2-0.5*((($A17-2003)/1)-2)^3,IF($A17&lt;=2006,2/3-((($A17-2003)/1)-2)^2+0.5*((($A17-2003)/1)-2)^3,IF($A17&lt;=2007,(4-(($A17-2003)/1))^3/6,0)))))</f>
        <v>0.16666666666666699</v>
      </c>
      <c r="P17" s="16">
        <f>SUMPRODUCT(D17:O17,$B$24:$M$24)</f>
        <v>-7.3952967315482496</v>
      </c>
      <c r="Q17" s="16">
        <f>C17-P17</f>
        <v>0.025730403600984001</v>
      </c>
      <c r="R17" s="16">
        <f>Q17^2</f>
        <v>0.00066205366946952995</v>
      </c>
    </row>
    <row r="18"/>
    <row r="19"/>
    <row r="20"/>
    <row r="21"/>
    <row r="22"/>
    <row r="23" ht="32" customHeight="1">
      <c r="A23" s="14" t="inlineStr">
        <is>
          <t>Coefficient knot year</t>
        </is>
      </c>
      <c r="B23" s="14" t="n">
        <v>1992</v>
      </c>
      <c r="C23" s="14" t="n">
        <v>1993</v>
      </c>
      <c r="D23" s="14" t="n">
        <v>1994</v>
      </c>
      <c r="E23" s="14" t="n">
        <v>1995</v>
      </c>
      <c r="F23" s="14" t="n">
        <v>1996</v>
      </c>
      <c r="G23" s="14" t="n">
        <v>1997</v>
      </c>
      <c r="H23" s="14" t="n">
        <v>1998</v>
      </c>
      <c r="I23" s="14" t="n">
        <v>1999</v>
      </c>
      <c r="J23" s="14" t="n">
        <v>2000</v>
      </c>
      <c r="K23" s="14" t="n">
        <v>2001</v>
      </c>
      <c r="L23" s="14" t="n">
        <v>2002</v>
      </c>
      <c r="M23" s="14" t="n">
        <v>2003</v>
      </c>
    </row>
    <row r="24">
      <c r="A24" s="15" t="inlineStr">
        <is>
          <t>theta (Solver values)</t>
        </is>
      </c>
      <c r="B24" s="17" t="n">
        <v>-7.067802739675899</v>
      </c>
      <c r="C24" s="17" t="n">
        <v>-7.079412622928131</v>
      </c>
      <c r="D24" s="17" t="n">
        <v>-7.085683379244104</v>
      </c>
      <c r="E24" s="17" t="n">
        <v>-7.064258768736763</v>
      </c>
      <c r="F24" s="17" t="n">
        <v>-7.023924259837115</v>
      </c>
      <c r="G24" s="17" t="n">
        <v>-7.021074594707385</v>
      </c>
      <c r="H24" s="17" t="n">
        <v>-7.038639060954984</v>
      </c>
      <c r="I24" s="17" t="n">
        <v>-7.140347882948142</v>
      </c>
      <c r="J24" s="17" t="n">
        <v>-7.258422462025839</v>
      </c>
      <c r="K24" s="17" t="n">
        <v>-7.347293982426139</v>
      </c>
      <c r="L24" s="17" t="n">
        <v>-7.396726198414973</v>
      </c>
      <c r="M24" s="17" t="n">
        <v>-7.437581613203479</v>
      </c>
    </row>
    <row r="25">
      <c r="A25" s="15" t="inlineStr">
        <is>
          <t>First difference</t>
        </is>
      </c>
      <c r="B25" s="16">
        <f>C24-B24</f>
        <v>-0.0116098832522322</v>
      </c>
      <c r="C25" s="16">
        <f>D24-C24</f>
        <v>-0.0062707563159731796</v>
      </c>
      <c r="D25" s="16">
        <f>E24-D24</f>
        <v>0.0214246105073412</v>
      </c>
      <c r="E25" s="16">
        <f>F24-E24</f>
        <v>0.040334508899647403</v>
      </c>
      <c r="F25" s="16">
        <f>G24-F24</f>
        <v>0.0028496651297302798</v>
      </c>
      <c r="G25" s="16">
        <f>H24-G24</f>
        <v>-0.017564466247598901</v>
      </c>
      <c r="H25" s="16">
        <f>I24-H24</f>
        <v>-0.10170882199315801</v>
      </c>
      <c r="I25" s="16">
        <f>J24-I24</f>
        <v>-0.118074579077697</v>
      </c>
      <c r="J25" s="16">
        <f>K24-J24</f>
        <v>-0.0888715204002999</v>
      </c>
      <c r="K25" s="16">
        <f>L24-K24</f>
        <v>-0.049432215988834301</v>
      </c>
      <c r="L25" s="16">
        <f>M24-L24</f>
        <v>-0.040855414788505399</v>
      </c>
    </row>
    <row r="26">
      <c r="A26" s="15" t="inlineStr">
        <is>
          <t>Second difference</t>
        </is>
      </c>
      <c r="B26" s="16">
        <f>C25-B25</f>
        <v>0.0053391269362590404</v>
      </c>
      <c r="C26" s="16">
        <f>D25-C25</f>
        <v>0.027695366823314398</v>
      </c>
      <c r="D26" s="16">
        <f>E25-D25</f>
        <v>0.018909898392306199</v>
      </c>
      <c r="E26" s="16">
        <f>F25-E25</f>
        <v>-0.037484843769917099</v>
      </c>
      <c r="F26" s="16">
        <f>G25-F25</f>
        <v>-0.020414131377329201</v>
      </c>
      <c r="G26" s="16">
        <f>H25-G25</f>
        <v>-0.084144355745559493</v>
      </c>
      <c r="H26" s="16">
        <f>I25-H25</f>
        <v>-0.0163657570845386</v>
      </c>
      <c r="I26" s="16">
        <f>J25-I25</f>
        <v>0.029203058677397</v>
      </c>
      <c r="J26" s="16">
        <f>K25-J25</f>
        <v>0.039439304411465599</v>
      </c>
      <c r="K26" s="16">
        <f>L25-K25</f>
        <v>0.0085768012003288908</v>
      </c>
    </row>
    <row r="27">
      <c r="A27" s="15" t="inlineStr">
        <is>
          <t>Squared second difference</t>
        </is>
      </c>
      <c r="B27" s="16">
        <f>B26^2</f>
        <v>2.85062764414869e-05</v>
      </c>
      <c r="C27" s="16">
        <f>C26^2</f>
        <v>0.00076703334347794495</v>
      </c>
      <c r="D27" s="16">
        <f>D26^2</f>
        <v>0.00035758425720734303</v>
      </c>
      <c r="E27" s="16">
        <f>E26^2</f>
        <v>0.00140511351245509</v>
      </c>
      <c r="F27" s="16">
        <f>F26^2</f>
        <v>0.00041673675989085501</v>
      </c>
      <c r="G27" s="16">
        <f>G26^2</f>
        <v>0.0070802726038352599</v>
      </c>
      <c r="H27" s="16">
        <f>H26^2</f>
        <v>0.00026783800495012501</v>
      </c>
      <c r="I27" s="16">
        <f>I26^2</f>
        <v>0.00085281863611549403</v>
      </c>
      <c r="J27" s="16">
        <f>J26^2</f>
        <v>0.00155545873246025</v>
      </c>
      <c r="K27" s="16">
        <f>K26^2</f>
        <v>7.3561518829962997e-05</v>
      </c>
    </row>
    <row r="28"/>
    <row r="29"/>
    <row r="30"/>
    <row r="31">
      <c r="A31" s="15" t="inlineStr">
        <is>
          <t>Total SSE</t>
        </is>
      </c>
      <c r="B31" s="16">
        <f>SUM(R8:R17)</f>
        <v>0.0528862426345241</v>
      </c>
    </row>
    <row r="32">
      <c r="A32" s="15" t="inlineStr">
        <is>
          <t>Penalty (unweighted)</t>
        </is>
      </c>
      <c r="B32" s="16">
        <f>SUM(B27:K27)</f>
        <v>0.0128049236456638</v>
      </c>
    </row>
    <row r="33">
      <c r="A33" s="15" t="inlineStr">
        <is>
          <t>lambda</t>
        </is>
      </c>
      <c r="B33" s="15" t="n">
        <v>1</v>
      </c>
    </row>
    <row r="34">
      <c r="A34" s="15" t="inlineStr">
        <is>
          <t>Objective L</t>
        </is>
      </c>
      <c r="B34" s="16">
        <f>B31+B33/2*B32</f>
        <v>0.059288704457355998</v>
      </c>
    </row>
    <row r="35"/>
    <row r="36"/>
    <row r="37" ht="36" customHeight="1">
      <c r="A37" s="2" t="inlineStr">
        <is>
          <t>Solver: minimise $B$34 by changing $B$24:$M$24. Method: GRG Nonlinear; no constraints; disable nonnegative-variable option; enable automatic scaling. lambda=$B$33=1. Decision cells already contain the fitted coefficient values and can be rerun directly.</t>
        </is>
      </c>
    </row>
    <row r="38"/>
    <row r="39" ht="36" customHeight="1">
      <c r="A39" s="2" t="inlineStr">
        <is>
          <t>The numeric coefficient values were obtained by numerical minimisation of the displayed objective and checked against its normal equations. Microsoft Excel Solver was not executed in this environment; its reproducible settings are saved in this sheet.</t>
        </is>
      </c>
    </row>
    <row r="40"/>
    <row r="41" ht="36" customHeight="1">
      <c r="A41" s="2" t="inlineStr">
        <is>
          <t>Forecast worksheet: Q2(c)_M2_Forecast. Forward coefficient differences are computed exactly as in Week 11, using h=1 year(s); projected second differences are zero. No extra smoothing parameter search or positivity constraints are added.</t>
        </is>
      </c>
    </row>
  </sheetData>
  <mergeCells count="5">
    <mergeCell ref="A37:P37"/>
    <mergeCell ref="A39:P39"/>
    <mergeCell ref="A3:P3"/>
    <mergeCell ref="A41:P41"/>
    <mergeCell ref="A2:P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</cols>
  <sheetData>
    <row r="1">
      <c r="A1" s="13" t="inlineStr">
        <is>
          <t>Q2(c)_M2_Forecast — Week 11 forecasting layout</t>
        </is>
      </c>
    </row>
    <row r="2" ht="36" customHeight="1">
      <c r="A2" s="2" t="inlineStr">
        <is>
          <t>Coefficient forecasts: theta_new=2*theta_previous−theta_two_periods_back, so added second differences are zero. Fit/forecast LN(m) with SUMPRODUCT; apply EXP to return to mortality rates. No observed data after 2004 enter estimation.</t>
        </is>
      </c>
    </row>
    <row r="3"/>
    <row r="4"/>
    <row r="5">
      <c r="K5" s="16">
        <f>B7</f>
        <v>-7.0678027396758996</v>
      </c>
      <c r="L5" s="16">
        <f>B8</f>
        <v>-7.07941262292813</v>
      </c>
      <c r="M5" s="16">
        <f>B9</f>
        <v>-7.0856833792440996</v>
      </c>
      <c r="N5" s="16">
        <f>B10</f>
        <v>-7.0642587687367602</v>
      </c>
      <c r="O5" s="16">
        <f>B11</f>
        <v>-7.0239242598371199</v>
      </c>
      <c r="P5" s="16">
        <f>B12</f>
        <v>-7.0210745947073896</v>
      </c>
      <c r="Q5" s="16">
        <f>B13</f>
        <v>-7.0386390609549796</v>
      </c>
      <c r="R5" s="16">
        <f>B14</f>
        <v>-7.1403478829481397</v>
      </c>
      <c r="S5" s="16">
        <f>B15</f>
        <v>-7.2584224620258402</v>
      </c>
      <c r="T5" s="16">
        <f>B16</f>
        <v>-7.3472939824261401</v>
      </c>
      <c r="U5" s="16">
        <f>B17</f>
        <v>-7.3967261984149699</v>
      </c>
      <c r="V5" s="16">
        <f>B18</f>
        <v>-7.4375816132034798</v>
      </c>
      <c r="W5" s="16">
        <f>B19</f>
        <v>-7.4784370279919798</v>
      </c>
      <c r="X5" s="16">
        <f>B20</f>
        <v>-7.5192924427804897</v>
      </c>
      <c r="Y5" s="16">
        <f>B21</f>
        <v>-7.5601478575690004</v>
      </c>
      <c r="Z5" s="16">
        <f>B22</f>
        <v>-7.6010032723574996</v>
      </c>
      <c r="AA5" s="16">
        <f>B23</f>
        <v>-7.6418586871460104</v>
      </c>
      <c r="AB5" s="16">
        <f>B24</f>
        <v>-7.6827141019345104</v>
      </c>
      <c r="AC5" s="16">
        <f>B25</f>
        <v>-7.7235695167230203</v>
      </c>
      <c r="AD5" s="16">
        <f>B26</f>
        <v>-7.7644249315115204</v>
      </c>
      <c r="AE5" s="16">
        <f>B27</f>
        <v>-7.8052803463000302</v>
      </c>
      <c r="AF5" s="16">
        <f>B28</f>
        <v>-7.8461357610885303</v>
      </c>
      <c r="AG5" s="16">
        <f>B29</f>
        <v>-7.8869911758770401</v>
      </c>
      <c r="AH5" s="16">
        <f>B30</f>
        <v>-7.9278465906655402</v>
      </c>
      <c r="AI5" s="16">
        <f>B31</f>
        <v>-7.9687020054540501</v>
      </c>
      <c r="AJ5" s="16">
        <f>B32</f>
        <v>-8.0095574202425599</v>
      </c>
      <c r="AK5" s="16">
        <f>B33</f>
        <v>-8.0504128350310609</v>
      </c>
    </row>
    <row r="6" ht="32" customHeight="1">
      <c r="A6" s="14" t="inlineStr">
        <is>
          <t>Coefficient knot year</t>
        </is>
      </c>
      <c r="B6" s="14" t="inlineStr">
        <is>
          <t>theta</t>
        </is>
      </c>
      <c r="C6" s="14" t="inlineStr">
        <is>
          <t>First difference</t>
        </is>
      </c>
      <c r="D6" s="14" t="inlineStr">
        <is>
          <t>Second difference</t>
        </is>
      </c>
      <c r="F6" s="14" t="inlineStr">
        <is>
          <t>Year</t>
        </is>
      </c>
      <c r="G6" s="14" t="inlineStr">
        <is>
          <t>Observed mortality</t>
        </is>
      </c>
      <c r="H6" s="14" t="inlineStr">
        <is>
          <t>Fitted / forecast LN(m)</t>
        </is>
      </c>
      <c r="I6" s="14" t="inlineStr">
        <is>
          <t>Fitted / forecast m</t>
        </is>
      </c>
      <c r="J6" s="14" t="inlineStr">
        <is>
          <t>Period</t>
        </is>
      </c>
      <c r="K6" s="14" t="n">
        <v>1992</v>
      </c>
      <c r="L6" s="14" t="n">
        <v>1993</v>
      </c>
      <c r="M6" s="14" t="n">
        <v>1994</v>
      </c>
      <c r="N6" s="14" t="n">
        <v>1995</v>
      </c>
      <c r="O6" s="14" t="n">
        <v>1996</v>
      </c>
      <c r="P6" s="14" t="n">
        <v>1997</v>
      </c>
      <c r="Q6" s="14" t="n">
        <v>1998</v>
      </c>
      <c r="R6" s="14" t="n">
        <v>1999</v>
      </c>
      <c r="S6" s="14" t="n">
        <v>2000</v>
      </c>
      <c r="T6" s="14" t="n">
        <v>2001</v>
      </c>
      <c r="U6" s="14" t="n">
        <v>2002</v>
      </c>
      <c r="V6" s="14" t="n">
        <v>2003</v>
      </c>
      <c r="W6" s="14" t="n">
        <v>2004</v>
      </c>
      <c r="X6" s="14" t="n">
        <v>2005</v>
      </c>
      <c r="Y6" s="14" t="n">
        <v>2006</v>
      </c>
      <c r="Z6" s="14" t="n">
        <v>2007</v>
      </c>
      <c r="AA6" s="14" t="n">
        <v>2008</v>
      </c>
      <c r="AB6" s="14" t="n">
        <v>2009</v>
      </c>
      <c r="AC6" s="14" t="n">
        <v>2010</v>
      </c>
      <c r="AD6" s="14" t="n">
        <v>2011</v>
      </c>
      <c r="AE6" s="14" t="n">
        <v>2012</v>
      </c>
      <c r="AF6" s="14" t="n">
        <v>2013</v>
      </c>
      <c r="AG6" s="14" t="n">
        <v>2014</v>
      </c>
      <c r="AH6" s="14" t="n">
        <v>2015</v>
      </c>
      <c r="AI6" s="14" t="n">
        <v>2016</v>
      </c>
      <c r="AJ6" s="14" t="n">
        <v>2017</v>
      </c>
      <c r="AK6" s="14" t="n">
        <v>2018</v>
      </c>
    </row>
    <row r="7">
      <c r="A7" s="18" t="n">
        <v>1992</v>
      </c>
      <c r="B7" s="16">
        <f>'Q2(c)_M2'!B24</f>
        <v>-7.0678027396758996</v>
      </c>
      <c r="F7" s="18" t="n">
        <v>1995</v>
      </c>
      <c r="G7" s="16">
        <f>'M_70_t'!B2</f>
        <v>0.00085662921497227005</v>
      </c>
      <c r="H7" s="16">
        <f>SUMPRODUCT(K7:AK7,$K$5:$AK$5)</f>
        <v>-7.0785227684387504</v>
      </c>
      <c r="I7" s="16">
        <f>EXP(H7)</f>
        <v>0.00084301756115736195</v>
      </c>
      <c r="J7" s="15" t="inlineStr">
        <is>
          <t>Fitted</t>
        </is>
      </c>
      <c r="K7" s="16">
        <f>IF($F7&lt;=1992,0,IF($F7&lt;=1993,(($F7-1992)/1)^3/6,IF($F7&lt;=1994,2/3-((($F7-1992)/1)-2)^2-0.5*((($F7-1992)/1)-2)^3,IF($F7&lt;=1995,2/3-((($F7-1992)/1)-2)^2+0.5*((($F7-1992)/1)-2)^3,IF($F7&lt;=1996,(4-(($F7-1992)/1))^3/6,0)))))</f>
        <v>0.16666666666666699</v>
      </c>
      <c r="L7" s="16">
        <f>IF($F7&lt;=1993,0,IF($F7&lt;=1994,(($F7-1993)/1)^3/6,IF($F7&lt;=1995,2/3-((($F7-1993)/1)-2)^2-0.5*((($F7-1993)/1)-2)^3,IF($F7&lt;=1996,2/3-((($F7-1993)/1)-2)^2+0.5*((($F7-1993)/1)-2)^3,IF($F7&lt;=1997,(4-(($F7-1993)/1))^3/6,0)))))</f>
        <v>0.66666666666666696</v>
      </c>
      <c r="M7" s="16">
        <f>IF($F7&lt;=1994,0,IF($F7&lt;=1995,(($F7-1994)/1)^3/6,IF($F7&lt;=1996,2/3-((($F7-1994)/1)-2)^2-0.5*((($F7-1994)/1)-2)^3,IF($F7&lt;=1997,2/3-((($F7-1994)/1)-2)^2+0.5*((($F7-1994)/1)-2)^3,IF($F7&lt;=1998,(4-(($F7-1994)/1))^3/6,0)))))</f>
        <v>0.16666666666666699</v>
      </c>
      <c r="N7" s="16">
        <f>IF($F7&lt;=1995,0,IF($F7&lt;=1996,(($F7-1995)/1)^3/6,IF($F7&lt;=1997,2/3-((($F7-1995)/1)-2)^2-0.5*((($F7-1995)/1)-2)^3,IF($F7&lt;=1998,2/3-((($F7-1995)/1)-2)^2+0.5*((($F7-1995)/1)-2)^3,IF($F7&lt;=1999,(4-(($F7-1995)/1))^3/6,0)))))</f>
        <v>0</v>
      </c>
      <c r="O7" s="16">
        <f>IF($F7&lt;=1996,0,IF($F7&lt;=1997,(($F7-1996)/1)^3/6,IF($F7&lt;=1998,2/3-((($F7-1996)/1)-2)^2-0.5*((($F7-1996)/1)-2)^3,IF($F7&lt;=1999,2/3-((($F7-1996)/1)-2)^2+0.5*((($F7-1996)/1)-2)^3,IF($F7&lt;=2000,(4-(($F7-1996)/1))^3/6,0)))))</f>
        <v>0</v>
      </c>
      <c r="P7" s="16">
        <f>IF($F7&lt;=1997,0,IF($F7&lt;=1998,(($F7-1997)/1)^3/6,IF($F7&lt;=1999,2/3-((($F7-1997)/1)-2)^2-0.5*((($F7-1997)/1)-2)^3,IF($F7&lt;=2000,2/3-((($F7-1997)/1)-2)^2+0.5*((($F7-1997)/1)-2)^3,IF($F7&lt;=2001,(4-(($F7-1997)/1))^3/6,0)))))</f>
        <v>0</v>
      </c>
      <c r="Q7" s="16">
        <f>IF($F7&lt;=1998,0,IF($F7&lt;=1999,(($F7-1998)/1)^3/6,IF($F7&lt;=2000,2/3-((($F7-1998)/1)-2)^2-0.5*((($F7-1998)/1)-2)^3,IF($F7&lt;=2001,2/3-((($F7-1998)/1)-2)^2+0.5*((($F7-1998)/1)-2)^3,IF($F7&lt;=2002,(4-(($F7-1998)/1))^3/6,0)))))</f>
        <v>0</v>
      </c>
      <c r="R7" s="16">
        <f>IF($F7&lt;=1999,0,IF($F7&lt;=2000,(($F7-1999)/1)^3/6,IF($F7&lt;=2001,2/3-((($F7-1999)/1)-2)^2-0.5*((($F7-1999)/1)-2)^3,IF($F7&lt;=2002,2/3-((($F7-1999)/1)-2)^2+0.5*((($F7-1999)/1)-2)^3,IF($F7&lt;=2003,(4-(($F7-1999)/1))^3/6,0)))))</f>
        <v>0</v>
      </c>
      <c r="S7" s="16">
        <f>IF($F7&lt;=2000,0,IF($F7&lt;=2001,(($F7-2000)/1)^3/6,IF($F7&lt;=2002,2/3-((($F7-2000)/1)-2)^2-0.5*((($F7-2000)/1)-2)^3,IF($F7&lt;=2003,2/3-((($F7-2000)/1)-2)^2+0.5*((($F7-2000)/1)-2)^3,IF($F7&lt;=2004,(4-(($F7-2000)/1))^3/6,0)))))</f>
        <v>0</v>
      </c>
      <c r="T7" s="16">
        <f>IF($F7&lt;=2001,0,IF($F7&lt;=2002,(($F7-2001)/1)^3/6,IF($F7&lt;=2003,2/3-((($F7-2001)/1)-2)^2-0.5*((($F7-2001)/1)-2)^3,IF($F7&lt;=2004,2/3-((($F7-2001)/1)-2)^2+0.5*((($F7-2001)/1)-2)^3,IF($F7&lt;=2005,(4-(($F7-2001)/1))^3/6,0)))))</f>
        <v>0</v>
      </c>
      <c r="U7" s="16">
        <f>IF($F7&lt;=2002,0,IF($F7&lt;=2003,(($F7-2002)/1)^3/6,IF($F7&lt;=2004,2/3-((($F7-2002)/1)-2)^2-0.5*((($F7-2002)/1)-2)^3,IF($F7&lt;=2005,2/3-((($F7-2002)/1)-2)^2+0.5*((($F7-2002)/1)-2)^3,IF($F7&lt;=2006,(4-(($F7-2002)/1))^3/6,0)))))</f>
        <v>0</v>
      </c>
      <c r="V7" s="16">
        <f>IF($F7&lt;=2003,0,IF($F7&lt;=2004,(($F7-2003)/1)^3/6,IF($F7&lt;=2005,2/3-((($F7-2003)/1)-2)^2-0.5*((($F7-2003)/1)-2)^3,IF($F7&lt;=2006,2/3-((($F7-2003)/1)-2)^2+0.5*((($F7-2003)/1)-2)^3,IF($F7&lt;=2007,(4-(($F7-2003)/1))^3/6,0)))))</f>
        <v>0</v>
      </c>
      <c r="W7" s="16">
        <f>IF($F7&lt;=2004,0,IF($F7&lt;=2005,(($F7-2004)/1)^3/6,IF($F7&lt;=2006,2/3-((($F7-2004)/1)-2)^2-0.5*((($F7-2004)/1)-2)^3,IF($F7&lt;=2007,2/3-((($F7-2004)/1)-2)^2+0.5*((($F7-2004)/1)-2)^3,IF($F7&lt;=2008,(4-(($F7-2004)/1))^3/6,0)))))</f>
        <v>0</v>
      </c>
      <c r="X7" s="16">
        <f>IF($F7&lt;=2005,0,IF($F7&lt;=2006,(($F7-2005)/1)^3/6,IF($F7&lt;=2007,2/3-((($F7-2005)/1)-2)^2-0.5*((($F7-2005)/1)-2)^3,IF($F7&lt;=2008,2/3-((($F7-2005)/1)-2)^2+0.5*((($F7-2005)/1)-2)^3,IF($F7&lt;=2009,(4-(($F7-2005)/1))^3/6,0)))))</f>
        <v>0</v>
      </c>
      <c r="Y7" s="16">
        <f>IF($F7&lt;=2006,0,IF($F7&lt;=2007,(($F7-2006)/1)^3/6,IF($F7&lt;=2008,2/3-((($F7-2006)/1)-2)^2-0.5*((($F7-2006)/1)-2)^3,IF($F7&lt;=2009,2/3-((($F7-2006)/1)-2)^2+0.5*((($F7-2006)/1)-2)^3,IF($F7&lt;=2010,(4-(($F7-2006)/1))^3/6,0)))))</f>
        <v>0</v>
      </c>
      <c r="Z7" s="16">
        <f>IF($F7&lt;=2007,0,IF($F7&lt;=2008,(($F7-2007)/1)^3/6,IF($F7&lt;=2009,2/3-((($F7-2007)/1)-2)^2-0.5*((($F7-2007)/1)-2)^3,IF($F7&lt;=2010,2/3-((($F7-2007)/1)-2)^2+0.5*((($F7-2007)/1)-2)^3,IF($F7&lt;=2011,(4-(($F7-2007)/1))^3/6,0)))))</f>
        <v>0</v>
      </c>
      <c r="AA7" s="16">
        <f>IF($F7&lt;=2008,0,IF($F7&lt;=2009,(($F7-2008)/1)^3/6,IF($F7&lt;=2010,2/3-((($F7-2008)/1)-2)^2-0.5*((($F7-2008)/1)-2)^3,IF($F7&lt;=2011,2/3-((($F7-2008)/1)-2)^2+0.5*((($F7-2008)/1)-2)^3,IF($F7&lt;=2012,(4-(($F7-2008)/1))^3/6,0)))))</f>
        <v>0</v>
      </c>
      <c r="AB7" s="16">
        <f>IF($F7&lt;=2009,0,IF($F7&lt;=2010,(($F7-2009)/1)^3/6,IF($F7&lt;=2011,2/3-((($F7-2009)/1)-2)^2-0.5*((($F7-2009)/1)-2)^3,IF($F7&lt;=2012,2/3-((($F7-2009)/1)-2)^2+0.5*((($F7-2009)/1)-2)^3,IF($F7&lt;=2013,(4-(($F7-2009)/1))^3/6,0)))))</f>
        <v>0</v>
      </c>
      <c r="AC7" s="16">
        <f>IF($F7&lt;=2010,0,IF($F7&lt;=2011,(($F7-2010)/1)^3/6,IF($F7&lt;=2012,2/3-((($F7-2010)/1)-2)^2-0.5*((($F7-2010)/1)-2)^3,IF($F7&lt;=2013,2/3-((($F7-2010)/1)-2)^2+0.5*((($F7-2010)/1)-2)^3,IF($F7&lt;=2014,(4-(($F7-2010)/1))^3/6,0)))))</f>
        <v>0</v>
      </c>
      <c r="AD7" s="16">
        <f>IF($F7&lt;=2011,0,IF($F7&lt;=2012,(($F7-2011)/1)^3/6,IF($F7&lt;=2013,2/3-((($F7-2011)/1)-2)^2-0.5*((($F7-2011)/1)-2)^3,IF($F7&lt;=2014,2/3-((($F7-2011)/1)-2)^2+0.5*((($F7-2011)/1)-2)^3,IF($F7&lt;=2015,(4-(($F7-2011)/1))^3/6,0)))))</f>
        <v>0</v>
      </c>
      <c r="AE7" s="16">
        <f>IF($F7&lt;=2012,0,IF($F7&lt;=2013,(($F7-2012)/1)^3/6,IF($F7&lt;=2014,2/3-((($F7-2012)/1)-2)^2-0.5*((($F7-2012)/1)-2)^3,IF($F7&lt;=2015,2/3-((($F7-2012)/1)-2)^2+0.5*((($F7-2012)/1)-2)^3,IF($F7&lt;=2016,(4-(($F7-2012)/1))^3/6,0)))))</f>
        <v>0</v>
      </c>
      <c r="AF7" s="16">
        <f>IF($F7&lt;=2013,0,IF($F7&lt;=2014,(($F7-2013)/1)^3/6,IF($F7&lt;=2015,2/3-((($F7-2013)/1)-2)^2-0.5*((($F7-2013)/1)-2)^3,IF($F7&lt;=2016,2/3-((($F7-2013)/1)-2)^2+0.5*((($F7-2013)/1)-2)^3,IF($F7&lt;=2017,(4-(($F7-2013)/1))^3/6,0)))))</f>
        <v>0</v>
      </c>
      <c r="AG7" s="16">
        <f>IF($F7&lt;=2014,0,IF($F7&lt;=2015,(($F7-2014)/1)^3/6,IF($F7&lt;=2016,2/3-((($F7-2014)/1)-2)^2-0.5*((($F7-2014)/1)-2)^3,IF($F7&lt;=2017,2/3-((($F7-2014)/1)-2)^2+0.5*((($F7-2014)/1)-2)^3,IF($F7&lt;=2018,(4-(($F7-2014)/1))^3/6,0)))))</f>
        <v>0</v>
      </c>
      <c r="AH7" s="16">
        <f>IF($F7&lt;=2015,0,IF($F7&lt;=2016,(($F7-2015)/1)^3/6,IF($F7&lt;=2017,2/3-((($F7-2015)/1)-2)^2-0.5*((($F7-2015)/1)-2)^3,IF($F7&lt;=2018,2/3-((($F7-2015)/1)-2)^2+0.5*((($F7-2015)/1)-2)^3,IF($F7&lt;=2019,(4-(($F7-2015)/1))^3/6,0)))))</f>
        <v>0</v>
      </c>
      <c r="AI7" s="16">
        <f>IF($F7&lt;=2016,0,IF($F7&lt;=2017,(($F7-2016)/1)^3/6,IF($F7&lt;=2018,2/3-((($F7-2016)/1)-2)^2-0.5*((($F7-2016)/1)-2)^3,IF($F7&lt;=2019,2/3-((($F7-2016)/1)-2)^2+0.5*((($F7-2016)/1)-2)^3,IF($F7&lt;=2020,(4-(($F7-2016)/1))^3/6,0)))))</f>
        <v>0</v>
      </c>
      <c r="AJ7" s="16">
        <f>IF($F7&lt;=2017,0,IF($F7&lt;=2018,(($F7-2017)/1)^3/6,IF($F7&lt;=2019,2/3-((($F7-2017)/1)-2)^2-0.5*((($F7-2017)/1)-2)^3,IF($F7&lt;=2020,2/3-((($F7-2017)/1)-2)^2+0.5*((($F7-2017)/1)-2)^3,IF($F7&lt;=2021,(4-(($F7-2017)/1))^3/6,0)))))</f>
        <v>0</v>
      </c>
      <c r="AK7" s="16">
        <f>IF($F7&lt;=2018,0,IF($F7&lt;=2019,(($F7-2018)/1)^3/6,IF($F7&lt;=2020,2/3-((($F7-2018)/1)-2)^2-0.5*((($F7-2018)/1)-2)^3,IF($F7&lt;=2021,2/3-((($F7-2018)/1)-2)^2+0.5*((($F7-2018)/1)-2)^3,IF($F7&lt;=2022,(4-(($F7-2018)/1))^3/6,0)))))</f>
        <v>0</v>
      </c>
    </row>
    <row r="8">
      <c r="A8" s="18" t="n">
        <v>1993</v>
      </c>
      <c r="B8" s="16">
        <f>'Q2(c)_M2'!C24</f>
        <v>-7.07941262292813</v>
      </c>
      <c r="C8" s="16">
        <f>B8-B7</f>
        <v>-0.0116098832522322</v>
      </c>
      <c r="F8" s="18" t="n">
        <v>1996</v>
      </c>
      <c r="G8" s="16">
        <f>'M_70_t'!B3</f>
        <v>0.00082999932605467902</v>
      </c>
      <c r="H8" s="16">
        <f>SUMPRODUCT(K8:AK8,$K$5:$AK$5)</f>
        <v>-7.0810674847735502</v>
      </c>
      <c r="I8" s="16">
        <f>EXP(H8)</f>
        <v>0.00084087504779950105</v>
      </c>
      <c r="J8" s="15" t="inlineStr">
        <is>
          <t>Fitted</t>
        </is>
      </c>
      <c r="K8" s="16">
        <f>IF($F8&lt;=1992,0,IF($F8&lt;=1993,(($F8-1992)/1)^3/6,IF($F8&lt;=1994,2/3-((($F8-1992)/1)-2)^2-0.5*((($F8-1992)/1)-2)^3,IF($F8&lt;=1995,2/3-((($F8-1992)/1)-2)^2+0.5*((($F8-1992)/1)-2)^3,IF($F8&lt;=1996,(4-(($F8-1992)/1))^3/6,0)))))</f>
        <v>0</v>
      </c>
      <c r="L8" s="16">
        <f>IF($F8&lt;=1993,0,IF($F8&lt;=1994,(($F8-1993)/1)^3/6,IF($F8&lt;=1995,2/3-((($F8-1993)/1)-2)^2-0.5*((($F8-1993)/1)-2)^3,IF($F8&lt;=1996,2/3-((($F8-1993)/1)-2)^2+0.5*((($F8-1993)/1)-2)^3,IF($F8&lt;=1997,(4-(($F8-1993)/1))^3/6,0)))))</f>
        <v>0.16666666666666699</v>
      </c>
      <c r="M8" s="16">
        <f>IF($F8&lt;=1994,0,IF($F8&lt;=1995,(($F8-1994)/1)^3/6,IF($F8&lt;=1996,2/3-((($F8-1994)/1)-2)^2-0.5*((($F8-1994)/1)-2)^3,IF($F8&lt;=1997,2/3-((($F8-1994)/1)-2)^2+0.5*((($F8-1994)/1)-2)^3,IF($F8&lt;=1998,(4-(($F8-1994)/1))^3/6,0)))))</f>
        <v>0.66666666666666696</v>
      </c>
      <c r="N8" s="16">
        <f>IF($F8&lt;=1995,0,IF($F8&lt;=1996,(($F8-1995)/1)^3/6,IF($F8&lt;=1997,2/3-((($F8-1995)/1)-2)^2-0.5*((($F8-1995)/1)-2)^3,IF($F8&lt;=1998,2/3-((($F8-1995)/1)-2)^2+0.5*((($F8-1995)/1)-2)^3,IF($F8&lt;=1999,(4-(($F8-1995)/1))^3/6,0)))))</f>
        <v>0.16666666666666699</v>
      </c>
      <c r="O8" s="16">
        <f>IF($F8&lt;=1996,0,IF($F8&lt;=1997,(($F8-1996)/1)^3/6,IF($F8&lt;=1998,2/3-((($F8-1996)/1)-2)^2-0.5*((($F8-1996)/1)-2)^3,IF($F8&lt;=1999,2/3-((($F8-1996)/1)-2)^2+0.5*((($F8-1996)/1)-2)^3,IF($F8&lt;=2000,(4-(($F8-1996)/1))^3/6,0)))))</f>
        <v>0</v>
      </c>
      <c r="P8" s="16">
        <f>IF($F8&lt;=1997,0,IF($F8&lt;=1998,(($F8-1997)/1)^3/6,IF($F8&lt;=1999,2/3-((($F8-1997)/1)-2)^2-0.5*((($F8-1997)/1)-2)^3,IF($F8&lt;=2000,2/3-((($F8-1997)/1)-2)^2+0.5*((($F8-1997)/1)-2)^3,IF($F8&lt;=2001,(4-(($F8-1997)/1))^3/6,0)))))</f>
        <v>0</v>
      </c>
      <c r="Q8" s="16">
        <f>IF($F8&lt;=1998,0,IF($F8&lt;=1999,(($F8-1998)/1)^3/6,IF($F8&lt;=2000,2/3-((($F8-1998)/1)-2)^2-0.5*((($F8-1998)/1)-2)^3,IF($F8&lt;=2001,2/3-((($F8-1998)/1)-2)^2+0.5*((($F8-1998)/1)-2)^3,IF($F8&lt;=2002,(4-(($F8-1998)/1))^3/6,0)))))</f>
        <v>0</v>
      </c>
      <c r="R8" s="16">
        <f>IF($F8&lt;=1999,0,IF($F8&lt;=2000,(($F8-1999)/1)^3/6,IF($F8&lt;=2001,2/3-((($F8-1999)/1)-2)^2-0.5*((($F8-1999)/1)-2)^3,IF($F8&lt;=2002,2/3-((($F8-1999)/1)-2)^2+0.5*((($F8-1999)/1)-2)^3,IF($F8&lt;=2003,(4-(($F8-1999)/1))^3/6,0)))))</f>
        <v>0</v>
      </c>
      <c r="S8" s="16">
        <f>IF($F8&lt;=2000,0,IF($F8&lt;=2001,(($F8-2000)/1)^3/6,IF($F8&lt;=2002,2/3-((($F8-2000)/1)-2)^2-0.5*((($F8-2000)/1)-2)^3,IF($F8&lt;=2003,2/3-((($F8-2000)/1)-2)^2+0.5*((($F8-2000)/1)-2)^3,IF($F8&lt;=2004,(4-(($F8-2000)/1))^3/6,0)))))</f>
        <v>0</v>
      </c>
      <c r="T8" s="16">
        <f>IF($F8&lt;=2001,0,IF($F8&lt;=2002,(($F8-2001)/1)^3/6,IF($F8&lt;=2003,2/3-((($F8-2001)/1)-2)^2-0.5*((($F8-2001)/1)-2)^3,IF($F8&lt;=2004,2/3-((($F8-2001)/1)-2)^2+0.5*((($F8-2001)/1)-2)^3,IF($F8&lt;=2005,(4-(($F8-2001)/1))^3/6,0)))))</f>
        <v>0</v>
      </c>
      <c r="U8" s="16">
        <f>IF($F8&lt;=2002,0,IF($F8&lt;=2003,(($F8-2002)/1)^3/6,IF($F8&lt;=2004,2/3-((($F8-2002)/1)-2)^2-0.5*((($F8-2002)/1)-2)^3,IF($F8&lt;=2005,2/3-((($F8-2002)/1)-2)^2+0.5*((($F8-2002)/1)-2)^3,IF($F8&lt;=2006,(4-(($F8-2002)/1))^3/6,0)))))</f>
        <v>0</v>
      </c>
      <c r="V8" s="16">
        <f>IF($F8&lt;=2003,0,IF($F8&lt;=2004,(($F8-2003)/1)^3/6,IF($F8&lt;=2005,2/3-((($F8-2003)/1)-2)^2-0.5*((($F8-2003)/1)-2)^3,IF($F8&lt;=2006,2/3-((($F8-2003)/1)-2)^2+0.5*((($F8-2003)/1)-2)^3,IF($F8&lt;=2007,(4-(($F8-2003)/1))^3/6,0)))))</f>
        <v>0</v>
      </c>
      <c r="W8" s="16">
        <f>IF($F8&lt;=2004,0,IF($F8&lt;=2005,(($F8-2004)/1)^3/6,IF($F8&lt;=2006,2/3-((($F8-2004)/1)-2)^2-0.5*((($F8-2004)/1)-2)^3,IF($F8&lt;=2007,2/3-((($F8-2004)/1)-2)^2+0.5*((($F8-2004)/1)-2)^3,IF($F8&lt;=2008,(4-(($F8-2004)/1))^3/6,0)))))</f>
        <v>0</v>
      </c>
      <c r="X8" s="16">
        <f>IF($F8&lt;=2005,0,IF($F8&lt;=2006,(($F8-2005)/1)^3/6,IF($F8&lt;=2007,2/3-((($F8-2005)/1)-2)^2-0.5*((($F8-2005)/1)-2)^3,IF($F8&lt;=2008,2/3-((($F8-2005)/1)-2)^2+0.5*((($F8-2005)/1)-2)^3,IF($F8&lt;=2009,(4-(($F8-2005)/1))^3/6,0)))))</f>
        <v>0</v>
      </c>
      <c r="Y8" s="16">
        <f>IF($F8&lt;=2006,0,IF($F8&lt;=2007,(($F8-2006)/1)^3/6,IF($F8&lt;=2008,2/3-((($F8-2006)/1)-2)^2-0.5*((($F8-2006)/1)-2)^3,IF($F8&lt;=2009,2/3-((($F8-2006)/1)-2)^2+0.5*((($F8-2006)/1)-2)^3,IF($F8&lt;=2010,(4-(($F8-2006)/1))^3/6,0)))))</f>
        <v>0</v>
      </c>
      <c r="Z8" s="16">
        <f>IF($F8&lt;=2007,0,IF($F8&lt;=2008,(($F8-2007)/1)^3/6,IF($F8&lt;=2009,2/3-((($F8-2007)/1)-2)^2-0.5*((($F8-2007)/1)-2)^3,IF($F8&lt;=2010,2/3-((($F8-2007)/1)-2)^2+0.5*((($F8-2007)/1)-2)^3,IF($F8&lt;=2011,(4-(($F8-2007)/1))^3/6,0)))))</f>
        <v>0</v>
      </c>
      <c r="AA8" s="16">
        <f>IF($F8&lt;=2008,0,IF($F8&lt;=2009,(($F8-2008)/1)^3/6,IF($F8&lt;=2010,2/3-((($F8-2008)/1)-2)^2-0.5*((($F8-2008)/1)-2)^3,IF($F8&lt;=2011,2/3-((($F8-2008)/1)-2)^2+0.5*((($F8-2008)/1)-2)^3,IF($F8&lt;=2012,(4-(($F8-2008)/1))^3/6,0)))))</f>
        <v>0</v>
      </c>
      <c r="AB8" s="16">
        <f>IF($F8&lt;=2009,0,IF($F8&lt;=2010,(($F8-2009)/1)^3/6,IF($F8&lt;=2011,2/3-((($F8-2009)/1)-2)^2-0.5*((($F8-2009)/1)-2)^3,IF($F8&lt;=2012,2/3-((($F8-2009)/1)-2)^2+0.5*((($F8-2009)/1)-2)^3,IF($F8&lt;=2013,(4-(($F8-2009)/1))^3/6,0)))))</f>
        <v>0</v>
      </c>
      <c r="AC8" s="16">
        <f>IF($F8&lt;=2010,0,IF($F8&lt;=2011,(($F8-2010)/1)^3/6,IF($F8&lt;=2012,2/3-((($F8-2010)/1)-2)^2-0.5*((($F8-2010)/1)-2)^3,IF($F8&lt;=2013,2/3-((($F8-2010)/1)-2)^2+0.5*((($F8-2010)/1)-2)^3,IF($F8&lt;=2014,(4-(($F8-2010)/1))^3/6,0)))))</f>
        <v>0</v>
      </c>
      <c r="AD8" s="16">
        <f>IF($F8&lt;=2011,0,IF($F8&lt;=2012,(($F8-2011)/1)^3/6,IF($F8&lt;=2013,2/3-((($F8-2011)/1)-2)^2-0.5*((($F8-2011)/1)-2)^3,IF($F8&lt;=2014,2/3-((($F8-2011)/1)-2)^2+0.5*((($F8-2011)/1)-2)^3,IF($F8&lt;=2015,(4-(($F8-2011)/1))^3/6,0)))))</f>
        <v>0</v>
      </c>
      <c r="AE8" s="16">
        <f>IF($F8&lt;=2012,0,IF($F8&lt;=2013,(($F8-2012)/1)^3/6,IF($F8&lt;=2014,2/3-((($F8-2012)/1)-2)^2-0.5*((($F8-2012)/1)-2)^3,IF($F8&lt;=2015,2/3-((($F8-2012)/1)-2)^2+0.5*((($F8-2012)/1)-2)^3,IF($F8&lt;=2016,(4-(($F8-2012)/1))^3/6,0)))))</f>
        <v>0</v>
      </c>
      <c r="AF8" s="16">
        <f>IF($F8&lt;=2013,0,IF($F8&lt;=2014,(($F8-2013)/1)^3/6,IF($F8&lt;=2015,2/3-((($F8-2013)/1)-2)^2-0.5*((($F8-2013)/1)-2)^3,IF($F8&lt;=2016,2/3-((($F8-2013)/1)-2)^2+0.5*((($F8-2013)/1)-2)^3,IF($F8&lt;=2017,(4-(($F8-2013)/1))^3/6,0)))))</f>
        <v>0</v>
      </c>
      <c r="AG8" s="16">
        <f>IF($F8&lt;=2014,0,IF($F8&lt;=2015,(($F8-2014)/1)^3/6,IF($F8&lt;=2016,2/3-((($F8-2014)/1)-2)^2-0.5*((($F8-2014)/1)-2)^3,IF($F8&lt;=2017,2/3-((($F8-2014)/1)-2)^2+0.5*((($F8-2014)/1)-2)^3,IF($F8&lt;=2018,(4-(($F8-2014)/1))^3/6,0)))))</f>
        <v>0</v>
      </c>
      <c r="AH8" s="16">
        <f>IF($F8&lt;=2015,0,IF($F8&lt;=2016,(($F8-2015)/1)^3/6,IF($F8&lt;=2017,2/3-((($F8-2015)/1)-2)^2-0.5*((($F8-2015)/1)-2)^3,IF($F8&lt;=2018,2/3-((($F8-2015)/1)-2)^2+0.5*((($F8-2015)/1)-2)^3,IF($F8&lt;=2019,(4-(($F8-2015)/1))^3/6,0)))))</f>
        <v>0</v>
      </c>
      <c r="AI8" s="16">
        <f>IF($F8&lt;=2016,0,IF($F8&lt;=2017,(($F8-2016)/1)^3/6,IF($F8&lt;=2018,2/3-((($F8-2016)/1)-2)^2-0.5*((($F8-2016)/1)-2)^3,IF($F8&lt;=2019,2/3-((($F8-2016)/1)-2)^2+0.5*((($F8-2016)/1)-2)^3,IF($F8&lt;=2020,(4-(($F8-2016)/1))^3/6,0)))))</f>
        <v>0</v>
      </c>
      <c r="AJ8" s="16">
        <f>IF($F8&lt;=2017,0,IF($F8&lt;=2018,(($F8-2017)/1)^3/6,IF($F8&lt;=2019,2/3-((($F8-2017)/1)-2)^2-0.5*((($F8-2017)/1)-2)^3,IF($F8&lt;=2020,2/3-((($F8-2017)/1)-2)^2+0.5*((($F8-2017)/1)-2)^3,IF($F8&lt;=2021,(4-(($F8-2017)/1))^3/6,0)))))</f>
        <v>0</v>
      </c>
      <c r="AK8" s="16">
        <f>IF($F8&lt;=2018,0,IF($F8&lt;=2019,(($F8-2018)/1)^3/6,IF($F8&lt;=2020,2/3-((($F8-2018)/1)-2)^2-0.5*((($F8-2018)/1)-2)^3,IF($F8&lt;=2021,2/3-((($F8-2018)/1)-2)^2+0.5*((($F8-2018)/1)-2)^3,IF($F8&lt;=2022,(4-(($F8-2018)/1))^3/6,0)))))</f>
        <v>0</v>
      </c>
    </row>
    <row r="9">
      <c r="A9" s="18" t="n">
        <v>1994</v>
      </c>
      <c r="B9" s="16">
        <f>'Q2(c)_M2'!D24</f>
        <v>-7.0856833792440996</v>
      </c>
      <c r="C9" s="16">
        <f>B9-B8</f>
        <v>-0.0062707563159731796</v>
      </c>
      <c r="D9" s="16">
        <f>C9-C8</f>
        <v>0.0053391269362590404</v>
      </c>
      <c r="F9" s="18" t="n">
        <v>1997</v>
      </c>
      <c r="G9" s="16">
        <f>'M_70_t'!B4</f>
        <v>0.00080999953267954299</v>
      </c>
      <c r="H9" s="16">
        <f>SUMPRODUCT(K9:AK9,$K$5:$AK$5)</f>
        <v>-7.0611071190047099</v>
      </c>
      <c r="I9" s="16">
        <f>EXP(H9)</f>
        <v>0.00085782785053901099</v>
      </c>
      <c r="J9" s="15" t="inlineStr">
        <is>
          <t>Fitted</t>
        </is>
      </c>
      <c r="K9" s="16">
        <f>IF($F9&lt;=1992,0,IF($F9&lt;=1993,(($F9-1992)/1)^3/6,IF($F9&lt;=1994,2/3-((($F9-1992)/1)-2)^2-0.5*((($F9-1992)/1)-2)^3,IF($F9&lt;=1995,2/3-((($F9-1992)/1)-2)^2+0.5*((($F9-1992)/1)-2)^3,IF($F9&lt;=1996,(4-(($F9-1992)/1))^3/6,0)))))</f>
        <v>0</v>
      </c>
      <c r="L9" s="16">
        <f>IF($F9&lt;=1993,0,IF($F9&lt;=1994,(($F9-1993)/1)^3/6,IF($F9&lt;=1995,2/3-((($F9-1993)/1)-2)^2-0.5*((($F9-1993)/1)-2)^3,IF($F9&lt;=1996,2/3-((($F9-1993)/1)-2)^2+0.5*((($F9-1993)/1)-2)^3,IF($F9&lt;=1997,(4-(($F9-1993)/1))^3/6,0)))))</f>
        <v>0</v>
      </c>
      <c r="M9" s="16">
        <f>IF($F9&lt;=1994,0,IF($F9&lt;=1995,(($F9-1994)/1)^3/6,IF($F9&lt;=1996,2/3-((($F9-1994)/1)-2)^2-0.5*((($F9-1994)/1)-2)^3,IF($F9&lt;=1997,2/3-((($F9-1994)/1)-2)^2+0.5*((($F9-1994)/1)-2)^3,IF($F9&lt;=1998,(4-(($F9-1994)/1))^3/6,0)))))</f>
        <v>0.16666666666666699</v>
      </c>
      <c r="N9" s="16">
        <f>IF($F9&lt;=1995,0,IF($F9&lt;=1996,(($F9-1995)/1)^3/6,IF($F9&lt;=1997,2/3-((($F9-1995)/1)-2)^2-0.5*((($F9-1995)/1)-2)^3,IF($F9&lt;=1998,2/3-((($F9-1995)/1)-2)^2+0.5*((($F9-1995)/1)-2)^3,IF($F9&lt;=1999,(4-(($F9-1995)/1))^3/6,0)))))</f>
        <v>0.66666666666666696</v>
      </c>
      <c r="O9" s="16">
        <f>IF($F9&lt;=1996,0,IF($F9&lt;=1997,(($F9-1996)/1)^3/6,IF($F9&lt;=1998,2/3-((($F9-1996)/1)-2)^2-0.5*((($F9-1996)/1)-2)^3,IF($F9&lt;=1999,2/3-((($F9-1996)/1)-2)^2+0.5*((($F9-1996)/1)-2)^3,IF($F9&lt;=2000,(4-(($F9-1996)/1))^3/6,0)))))</f>
        <v>0.16666666666666699</v>
      </c>
      <c r="P9" s="16">
        <f>IF($F9&lt;=1997,0,IF($F9&lt;=1998,(($F9-1997)/1)^3/6,IF($F9&lt;=1999,2/3-((($F9-1997)/1)-2)^2-0.5*((($F9-1997)/1)-2)^3,IF($F9&lt;=2000,2/3-((($F9-1997)/1)-2)^2+0.5*((($F9-1997)/1)-2)^3,IF($F9&lt;=2001,(4-(($F9-1997)/1))^3/6,0)))))</f>
        <v>0</v>
      </c>
      <c r="Q9" s="16">
        <f>IF($F9&lt;=1998,0,IF($F9&lt;=1999,(($F9-1998)/1)^3/6,IF($F9&lt;=2000,2/3-((($F9-1998)/1)-2)^2-0.5*((($F9-1998)/1)-2)^3,IF($F9&lt;=2001,2/3-((($F9-1998)/1)-2)^2+0.5*((($F9-1998)/1)-2)^3,IF($F9&lt;=2002,(4-(($F9-1998)/1))^3/6,0)))))</f>
        <v>0</v>
      </c>
      <c r="R9" s="16">
        <f>IF($F9&lt;=1999,0,IF($F9&lt;=2000,(($F9-1999)/1)^3/6,IF($F9&lt;=2001,2/3-((($F9-1999)/1)-2)^2-0.5*((($F9-1999)/1)-2)^3,IF($F9&lt;=2002,2/3-((($F9-1999)/1)-2)^2+0.5*((($F9-1999)/1)-2)^3,IF($F9&lt;=2003,(4-(($F9-1999)/1))^3/6,0)))))</f>
        <v>0</v>
      </c>
      <c r="S9" s="16">
        <f>IF($F9&lt;=2000,0,IF($F9&lt;=2001,(($F9-2000)/1)^3/6,IF($F9&lt;=2002,2/3-((($F9-2000)/1)-2)^2-0.5*((($F9-2000)/1)-2)^3,IF($F9&lt;=2003,2/3-((($F9-2000)/1)-2)^2+0.5*((($F9-2000)/1)-2)^3,IF($F9&lt;=2004,(4-(($F9-2000)/1))^3/6,0)))))</f>
        <v>0</v>
      </c>
      <c r="T9" s="16">
        <f>IF($F9&lt;=2001,0,IF($F9&lt;=2002,(($F9-2001)/1)^3/6,IF($F9&lt;=2003,2/3-((($F9-2001)/1)-2)^2-0.5*((($F9-2001)/1)-2)^3,IF($F9&lt;=2004,2/3-((($F9-2001)/1)-2)^2+0.5*((($F9-2001)/1)-2)^3,IF($F9&lt;=2005,(4-(($F9-2001)/1))^3/6,0)))))</f>
        <v>0</v>
      </c>
      <c r="U9" s="16">
        <f>IF($F9&lt;=2002,0,IF($F9&lt;=2003,(($F9-2002)/1)^3/6,IF($F9&lt;=2004,2/3-((($F9-2002)/1)-2)^2-0.5*((($F9-2002)/1)-2)^3,IF($F9&lt;=2005,2/3-((($F9-2002)/1)-2)^2+0.5*((($F9-2002)/1)-2)^3,IF($F9&lt;=2006,(4-(($F9-2002)/1))^3/6,0)))))</f>
        <v>0</v>
      </c>
      <c r="V9" s="16">
        <f>IF($F9&lt;=2003,0,IF($F9&lt;=2004,(($F9-2003)/1)^3/6,IF($F9&lt;=2005,2/3-((($F9-2003)/1)-2)^2-0.5*((($F9-2003)/1)-2)^3,IF($F9&lt;=2006,2/3-((($F9-2003)/1)-2)^2+0.5*((($F9-2003)/1)-2)^3,IF($F9&lt;=2007,(4-(($F9-2003)/1))^3/6,0)))))</f>
        <v>0</v>
      </c>
      <c r="W9" s="16">
        <f>IF($F9&lt;=2004,0,IF($F9&lt;=2005,(($F9-2004)/1)^3/6,IF($F9&lt;=2006,2/3-((($F9-2004)/1)-2)^2-0.5*((($F9-2004)/1)-2)^3,IF($F9&lt;=2007,2/3-((($F9-2004)/1)-2)^2+0.5*((($F9-2004)/1)-2)^3,IF($F9&lt;=2008,(4-(($F9-2004)/1))^3/6,0)))))</f>
        <v>0</v>
      </c>
      <c r="X9" s="16">
        <f>IF($F9&lt;=2005,0,IF($F9&lt;=2006,(($F9-2005)/1)^3/6,IF($F9&lt;=2007,2/3-((($F9-2005)/1)-2)^2-0.5*((($F9-2005)/1)-2)^3,IF($F9&lt;=2008,2/3-((($F9-2005)/1)-2)^2+0.5*((($F9-2005)/1)-2)^3,IF($F9&lt;=2009,(4-(($F9-2005)/1))^3/6,0)))))</f>
        <v>0</v>
      </c>
      <c r="Y9" s="16">
        <f>IF($F9&lt;=2006,0,IF($F9&lt;=2007,(($F9-2006)/1)^3/6,IF($F9&lt;=2008,2/3-((($F9-2006)/1)-2)^2-0.5*((($F9-2006)/1)-2)^3,IF($F9&lt;=2009,2/3-((($F9-2006)/1)-2)^2+0.5*((($F9-2006)/1)-2)^3,IF($F9&lt;=2010,(4-(($F9-2006)/1))^3/6,0)))))</f>
        <v>0</v>
      </c>
      <c r="Z9" s="16">
        <f>IF($F9&lt;=2007,0,IF($F9&lt;=2008,(($F9-2007)/1)^3/6,IF($F9&lt;=2009,2/3-((($F9-2007)/1)-2)^2-0.5*((($F9-2007)/1)-2)^3,IF($F9&lt;=2010,2/3-((($F9-2007)/1)-2)^2+0.5*((($F9-2007)/1)-2)^3,IF($F9&lt;=2011,(4-(($F9-2007)/1))^3/6,0)))))</f>
        <v>0</v>
      </c>
      <c r="AA9" s="16">
        <f>IF($F9&lt;=2008,0,IF($F9&lt;=2009,(($F9-2008)/1)^3/6,IF($F9&lt;=2010,2/3-((($F9-2008)/1)-2)^2-0.5*((($F9-2008)/1)-2)^3,IF($F9&lt;=2011,2/3-((($F9-2008)/1)-2)^2+0.5*((($F9-2008)/1)-2)^3,IF($F9&lt;=2012,(4-(($F9-2008)/1))^3/6,0)))))</f>
        <v>0</v>
      </c>
      <c r="AB9" s="16">
        <f>IF($F9&lt;=2009,0,IF($F9&lt;=2010,(($F9-2009)/1)^3/6,IF($F9&lt;=2011,2/3-((($F9-2009)/1)-2)^2-0.5*((($F9-2009)/1)-2)^3,IF($F9&lt;=2012,2/3-((($F9-2009)/1)-2)^2+0.5*((($F9-2009)/1)-2)^3,IF($F9&lt;=2013,(4-(($F9-2009)/1))^3/6,0)))))</f>
        <v>0</v>
      </c>
      <c r="AC9" s="16">
        <f>IF($F9&lt;=2010,0,IF($F9&lt;=2011,(($F9-2010)/1)^3/6,IF($F9&lt;=2012,2/3-((($F9-2010)/1)-2)^2-0.5*((($F9-2010)/1)-2)^3,IF($F9&lt;=2013,2/3-((($F9-2010)/1)-2)^2+0.5*((($F9-2010)/1)-2)^3,IF($F9&lt;=2014,(4-(($F9-2010)/1))^3/6,0)))))</f>
        <v>0</v>
      </c>
      <c r="AD9" s="16">
        <f>IF($F9&lt;=2011,0,IF($F9&lt;=2012,(($F9-2011)/1)^3/6,IF($F9&lt;=2013,2/3-((($F9-2011)/1)-2)^2-0.5*((($F9-2011)/1)-2)^3,IF($F9&lt;=2014,2/3-((($F9-2011)/1)-2)^2+0.5*((($F9-2011)/1)-2)^3,IF($F9&lt;=2015,(4-(($F9-2011)/1))^3/6,0)))))</f>
        <v>0</v>
      </c>
      <c r="AE9" s="16">
        <f>IF($F9&lt;=2012,0,IF($F9&lt;=2013,(($F9-2012)/1)^3/6,IF($F9&lt;=2014,2/3-((($F9-2012)/1)-2)^2-0.5*((($F9-2012)/1)-2)^3,IF($F9&lt;=2015,2/3-((($F9-2012)/1)-2)^2+0.5*((($F9-2012)/1)-2)^3,IF($F9&lt;=2016,(4-(($F9-2012)/1))^3/6,0)))))</f>
        <v>0</v>
      </c>
      <c r="AF9" s="16">
        <f>IF($F9&lt;=2013,0,IF($F9&lt;=2014,(($F9-2013)/1)^3/6,IF($F9&lt;=2015,2/3-((($F9-2013)/1)-2)^2-0.5*((($F9-2013)/1)-2)^3,IF($F9&lt;=2016,2/3-((($F9-2013)/1)-2)^2+0.5*((($F9-2013)/1)-2)^3,IF($F9&lt;=2017,(4-(($F9-2013)/1))^3/6,0)))))</f>
        <v>0</v>
      </c>
      <c r="AG9" s="16">
        <f>IF($F9&lt;=2014,0,IF($F9&lt;=2015,(($F9-2014)/1)^3/6,IF($F9&lt;=2016,2/3-((($F9-2014)/1)-2)^2-0.5*((($F9-2014)/1)-2)^3,IF($F9&lt;=2017,2/3-((($F9-2014)/1)-2)^2+0.5*((($F9-2014)/1)-2)^3,IF($F9&lt;=2018,(4-(($F9-2014)/1))^3/6,0)))))</f>
        <v>0</v>
      </c>
      <c r="AH9" s="16">
        <f>IF($F9&lt;=2015,0,IF($F9&lt;=2016,(($F9-2015)/1)^3/6,IF($F9&lt;=2017,2/3-((($F9-2015)/1)-2)^2-0.5*((($F9-2015)/1)-2)^3,IF($F9&lt;=2018,2/3-((($F9-2015)/1)-2)^2+0.5*((($F9-2015)/1)-2)^3,IF($F9&lt;=2019,(4-(($F9-2015)/1))^3/6,0)))))</f>
        <v>0</v>
      </c>
      <c r="AI9" s="16">
        <f>IF($F9&lt;=2016,0,IF($F9&lt;=2017,(($F9-2016)/1)^3/6,IF($F9&lt;=2018,2/3-((($F9-2016)/1)-2)^2-0.5*((($F9-2016)/1)-2)^3,IF($F9&lt;=2019,2/3-((($F9-2016)/1)-2)^2+0.5*((($F9-2016)/1)-2)^3,IF($F9&lt;=2020,(4-(($F9-2016)/1))^3/6,0)))))</f>
        <v>0</v>
      </c>
      <c r="AJ9" s="16">
        <f>IF($F9&lt;=2017,0,IF($F9&lt;=2018,(($F9-2017)/1)^3/6,IF($F9&lt;=2019,2/3-((($F9-2017)/1)-2)^2-0.5*((($F9-2017)/1)-2)^3,IF($F9&lt;=2020,2/3-((($F9-2017)/1)-2)^2+0.5*((($F9-2017)/1)-2)^3,IF($F9&lt;=2021,(4-(($F9-2017)/1))^3/6,0)))))</f>
        <v>0</v>
      </c>
      <c r="AK9" s="16">
        <f>IF($F9&lt;=2018,0,IF($F9&lt;=2019,(($F9-2018)/1)^3/6,IF($F9&lt;=2020,2/3-((($F9-2018)/1)-2)^2-0.5*((($F9-2018)/1)-2)^3,IF($F9&lt;=2021,2/3-((($F9-2018)/1)-2)^2+0.5*((($F9-2018)/1)-2)^3,IF($F9&lt;=2022,(4-(($F9-2018)/1))^3/6,0)))))</f>
        <v>0</v>
      </c>
    </row>
    <row r="10">
      <c r="A10" s="18" t="n">
        <v>1995</v>
      </c>
      <c r="B10" s="16">
        <f>'Q2(c)_M2'!E24</f>
        <v>-7.0642587687367602</v>
      </c>
      <c r="C10" s="16">
        <f>B10-B9</f>
        <v>0.0214246105073412</v>
      </c>
      <c r="D10" s="16">
        <f>C10-C9</f>
        <v>0.027695366823314398</v>
      </c>
      <c r="F10" s="18" t="n">
        <v>1998</v>
      </c>
      <c r="G10" s="16">
        <f>'M_70_t'!B5</f>
        <v>0.00097750974418243496</v>
      </c>
      <c r="H10" s="16">
        <f>SUMPRODUCT(K10:AK10,$K$5:$AK$5)</f>
        <v>-7.0301717337987704</v>
      </c>
      <c r="I10" s="16">
        <f>EXP(H10)</f>
        <v>0.00088477982094815996</v>
      </c>
      <c r="J10" s="15" t="inlineStr">
        <is>
          <t>Fitted</t>
        </is>
      </c>
      <c r="K10" s="16">
        <f>IF($F10&lt;=1992,0,IF($F10&lt;=1993,(($F10-1992)/1)^3/6,IF($F10&lt;=1994,2/3-((($F10-1992)/1)-2)^2-0.5*((($F10-1992)/1)-2)^3,IF($F10&lt;=1995,2/3-((($F10-1992)/1)-2)^2+0.5*((($F10-1992)/1)-2)^3,IF($F10&lt;=1996,(4-(($F10-1992)/1))^3/6,0)))))</f>
        <v>0</v>
      </c>
      <c r="L10" s="16">
        <f>IF($F10&lt;=1993,0,IF($F10&lt;=1994,(($F10-1993)/1)^3/6,IF($F10&lt;=1995,2/3-((($F10-1993)/1)-2)^2-0.5*((($F10-1993)/1)-2)^3,IF($F10&lt;=1996,2/3-((($F10-1993)/1)-2)^2+0.5*((($F10-1993)/1)-2)^3,IF($F10&lt;=1997,(4-(($F10-1993)/1))^3/6,0)))))</f>
        <v>0</v>
      </c>
      <c r="M10" s="16">
        <f>IF($F10&lt;=1994,0,IF($F10&lt;=1995,(($F10-1994)/1)^3/6,IF($F10&lt;=1996,2/3-((($F10-1994)/1)-2)^2-0.5*((($F10-1994)/1)-2)^3,IF($F10&lt;=1997,2/3-((($F10-1994)/1)-2)^2+0.5*((($F10-1994)/1)-2)^3,IF($F10&lt;=1998,(4-(($F10-1994)/1))^3/6,0)))))</f>
        <v>0</v>
      </c>
      <c r="N10" s="16">
        <f>IF($F10&lt;=1995,0,IF($F10&lt;=1996,(($F10-1995)/1)^3/6,IF($F10&lt;=1997,2/3-((($F10-1995)/1)-2)^2-0.5*((($F10-1995)/1)-2)^3,IF($F10&lt;=1998,2/3-((($F10-1995)/1)-2)^2+0.5*((($F10-1995)/1)-2)^3,IF($F10&lt;=1999,(4-(($F10-1995)/1))^3/6,0)))))</f>
        <v>0.16666666666666699</v>
      </c>
      <c r="O10" s="16">
        <f>IF($F10&lt;=1996,0,IF($F10&lt;=1997,(($F10-1996)/1)^3/6,IF($F10&lt;=1998,2/3-((($F10-1996)/1)-2)^2-0.5*((($F10-1996)/1)-2)^3,IF($F10&lt;=1999,2/3-((($F10-1996)/1)-2)^2+0.5*((($F10-1996)/1)-2)^3,IF($F10&lt;=2000,(4-(($F10-1996)/1))^3/6,0)))))</f>
        <v>0.66666666666666696</v>
      </c>
      <c r="P10" s="16">
        <f>IF($F10&lt;=1997,0,IF($F10&lt;=1998,(($F10-1997)/1)^3/6,IF($F10&lt;=1999,2/3-((($F10-1997)/1)-2)^2-0.5*((($F10-1997)/1)-2)^3,IF($F10&lt;=2000,2/3-((($F10-1997)/1)-2)^2+0.5*((($F10-1997)/1)-2)^3,IF($F10&lt;=2001,(4-(($F10-1997)/1))^3/6,0)))))</f>
        <v>0.16666666666666699</v>
      </c>
      <c r="Q10" s="16">
        <f>IF($F10&lt;=1998,0,IF($F10&lt;=1999,(($F10-1998)/1)^3/6,IF($F10&lt;=2000,2/3-((($F10-1998)/1)-2)^2-0.5*((($F10-1998)/1)-2)^3,IF($F10&lt;=2001,2/3-((($F10-1998)/1)-2)^2+0.5*((($F10-1998)/1)-2)^3,IF($F10&lt;=2002,(4-(($F10-1998)/1))^3/6,0)))))</f>
        <v>0</v>
      </c>
      <c r="R10" s="16">
        <f>IF($F10&lt;=1999,0,IF($F10&lt;=2000,(($F10-1999)/1)^3/6,IF($F10&lt;=2001,2/3-((($F10-1999)/1)-2)^2-0.5*((($F10-1999)/1)-2)^3,IF($F10&lt;=2002,2/3-((($F10-1999)/1)-2)^2+0.5*((($F10-1999)/1)-2)^3,IF($F10&lt;=2003,(4-(($F10-1999)/1))^3/6,0)))))</f>
        <v>0</v>
      </c>
      <c r="S10" s="16">
        <f>IF($F10&lt;=2000,0,IF($F10&lt;=2001,(($F10-2000)/1)^3/6,IF($F10&lt;=2002,2/3-((($F10-2000)/1)-2)^2-0.5*((($F10-2000)/1)-2)^3,IF($F10&lt;=2003,2/3-((($F10-2000)/1)-2)^2+0.5*((($F10-2000)/1)-2)^3,IF($F10&lt;=2004,(4-(($F10-2000)/1))^3/6,0)))))</f>
        <v>0</v>
      </c>
      <c r="T10" s="16">
        <f>IF($F10&lt;=2001,0,IF($F10&lt;=2002,(($F10-2001)/1)^3/6,IF($F10&lt;=2003,2/3-((($F10-2001)/1)-2)^2-0.5*((($F10-2001)/1)-2)^3,IF($F10&lt;=2004,2/3-((($F10-2001)/1)-2)^2+0.5*((($F10-2001)/1)-2)^3,IF($F10&lt;=2005,(4-(($F10-2001)/1))^3/6,0)))))</f>
        <v>0</v>
      </c>
      <c r="U10" s="16">
        <f>IF($F10&lt;=2002,0,IF($F10&lt;=2003,(($F10-2002)/1)^3/6,IF($F10&lt;=2004,2/3-((($F10-2002)/1)-2)^2-0.5*((($F10-2002)/1)-2)^3,IF($F10&lt;=2005,2/3-((($F10-2002)/1)-2)^2+0.5*((($F10-2002)/1)-2)^3,IF($F10&lt;=2006,(4-(($F10-2002)/1))^3/6,0)))))</f>
        <v>0</v>
      </c>
      <c r="V10" s="16">
        <f>IF($F10&lt;=2003,0,IF($F10&lt;=2004,(($F10-2003)/1)^3/6,IF($F10&lt;=2005,2/3-((($F10-2003)/1)-2)^2-0.5*((($F10-2003)/1)-2)^3,IF($F10&lt;=2006,2/3-((($F10-2003)/1)-2)^2+0.5*((($F10-2003)/1)-2)^3,IF($F10&lt;=2007,(4-(($F10-2003)/1))^3/6,0)))))</f>
        <v>0</v>
      </c>
      <c r="W10" s="16">
        <f>IF($F10&lt;=2004,0,IF($F10&lt;=2005,(($F10-2004)/1)^3/6,IF($F10&lt;=2006,2/3-((($F10-2004)/1)-2)^2-0.5*((($F10-2004)/1)-2)^3,IF($F10&lt;=2007,2/3-((($F10-2004)/1)-2)^2+0.5*((($F10-2004)/1)-2)^3,IF($F10&lt;=2008,(4-(($F10-2004)/1))^3/6,0)))))</f>
        <v>0</v>
      </c>
      <c r="X10" s="16">
        <f>IF($F10&lt;=2005,0,IF($F10&lt;=2006,(($F10-2005)/1)^3/6,IF($F10&lt;=2007,2/3-((($F10-2005)/1)-2)^2-0.5*((($F10-2005)/1)-2)^3,IF($F10&lt;=2008,2/3-((($F10-2005)/1)-2)^2+0.5*((($F10-2005)/1)-2)^3,IF($F10&lt;=2009,(4-(($F10-2005)/1))^3/6,0)))))</f>
        <v>0</v>
      </c>
      <c r="Y10" s="16">
        <f>IF($F10&lt;=2006,0,IF($F10&lt;=2007,(($F10-2006)/1)^3/6,IF($F10&lt;=2008,2/3-((($F10-2006)/1)-2)^2-0.5*((($F10-2006)/1)-2)^3,IF($F10&lt;=2009,2/3-((($F10-2006)/1)-2)^2+0.5*((($F10-2006)/1)-2)^3,IF($F10&lt;=2010,(4-(($F10-2006)/1))^3/6,0)))))</f>
        <v>0</v>
      </c>
      <c r="Z10" s="16">
        <f>IF($F10&lt;=2007,0,IF($F10&lt;=2008,(($F10-2007)/1)^3/6,IF($F10&lt;=2009,2/3-((($F10-2007)/1)-2)^2-0.5*((($F10-2007)/1)-2)^3,IF($F10&lt;=2010,2/3-((($F10-2007)/1)-2)^2+0.5*((($F10-2007)/1)-2)^3,IF($F10&lt;=2011,(4-(($F10-2007)/1))^3/6,0)))))</f>
        <v>0</v>
      </c>
      <c r="AA10" s="16">
        <f>IF($F10&lt;=2008,0,IF($F10&lt;=2009,(($F10-2008)/1)^3/6,IF($F10&lt;=2010,2/3-((($F10-2008)/1)-2)^2-0.5*((($F10-2008)/1)-2)^3,IF($F10&lt;=2011,2/3-((($F10-2008)/1)-2)^2+0.5*((($F10-2008)/1)-2)^3,IF($F10&lt;=2012,(4-(($F10-2008)/1))^3/6,0)))))</f>
        <v>0</v>
      </c>
      <c r="AB10" s="16">
        <f>IF($F10&lt;=2009,0,IF($F10&lt;=2010,(($F10-2009)/1)^3/6,IF($F10&lt;=2011,2/3-((($F10-2009)/1)-2)^2-0.5*((($F10-2009)/1)-2)^3,IF($F10&lt;=2012,2/3-((($F10-2009)/1)-2)^2+0.5*((($F10-2009)/1)-2)^3,IF($F10&lt;=2013,(4-(($F10-2009)/1))^3/6,0)))))</f>
        <v>0</v>
      </c>
      <c r="AC10" s="16">
        <f>IF($F10&lt;=2010,0,IF($F10&lt;=2011,(($F10-2010)/1)^3/6,IF($F10&lt;=2012,2/3-((($F10-2010)/1)-2)^2-0.5*((($F10-2010)/1)-2)^3,IF($F10&lt;=2013,2/3-((($F10-2010)/1)-2)^2+0.5*((($F10-2010)/1)-2)^3,IF($F10&lt;=2014,(4-(($F10-2010)/1))^3/6,0)))))</f>
        <v>0</v>
      </c>
      <c r="AD10" s="16">
        <f>IF($F10&lt;=2011,0,IF($F10&lt;=2012,(($F10-2011)/1)^3/6,IF($F10&lt;=2013,2/3-((($F10-2011)/1)-2)^2-0.5*((($F10-2011)/1)-2)^3,IF($F10&lt;=2014,2/3-((($F10-2011)/1)-2)^2+0.5*((($F10-2011)/1)-2)^3,IF($F10&lt;=2015,(4-(($F10-2011)/1))^3/6,0)))))</f>
        <v>0</v>
      </c>
      <c r="AE10" s="16">
        <f>IF($F10&lt;=2012,0,IF($F10&lt;=2013,(($F10-2012)/1)^3/6,IF($F10&lt;=2014,2/3-((($F10-2012)/1)-2)^2-0.5*((($F10-2012)/1)-2)^3,IF($F10&lt;=2015,2/3-((($F10-2012)/1)-2)^2+0.5*((($F10-2012)/1)-2)^3,IF($F10&lt;=2016,(4-(($F10-2012)/1))^3/6,0)))))</f>
        <v>0</v>
      </c>
      <c r="AF10" s="16">
        <f>IF($F10&lt;=2013,0,IF($F10&lt;=2014,(($F10-2013)/1)^3/6,IF($F10&lt;=2015,2/3-((($F10-2013)/1)-2)^2-0.5*((($F10-2013)/1)-2)^3,IF($F10&lt;=2016,2/3-((($F10-2013)/1)-2)^2+0.5*((($F10-2013)/1)-2)^3,IF($F10&lt;=2017,(4-(($F10-2013)/1))^3/6,0)))))</f>
        <v>0</v>
      </c>
      <c r="AG10" s="16">
        <f>IF($F10&lt;=2014,0,IF($F10&lt;=2015,(($F10-2014)/1)^3/6,IF($F10&lt;=2016,2/3-((($F10-2014)/1)-2)^2-0.5*((($F10-2014)/1)-2)^3,IF($F10&lt;=2017,2/3-((($F10-2014)/1)-2)^2+0.5*((($F10-2014)/1)-2)^3,IF($F10&lt;=2018,(4-(($F10-2014)/1))^3/6,0)))))</f>
        <v>0</v>
      </c>
      <c r="AH10" s="16">
        <f>IF($F10&lt;=2015,0,IF($F10&lt;=2016,(($F10-2015)/1)^3/6,IF($F10&lt;=2017,2/3-((($F10-2015)/1)-2)^2-0.5*((($F10-2015)/1)-2)^3,IF($F10&lt;=2018,2/3-((($F10-2015)/1)-2)^2+0.5*((($F10-2015)/1)-2)^3,IF($F10&lt;=2019,(4-(($F10-2015)/1))^3/6,0)))))</f>
        <v>0</v>
      </c>
      <c r="AI10" s="16">
        <f>IF($F10&lt;=2016,0,IF($F10&lt;=2017,(($F10-2016)/1)^3/6,IF($F10&lt;=2018,2/3-((($F10-2016)/1)-2)^2-0.5*((($F10-2016)/1)-2)^3,IF($F10&lt;=2019,2/3-((($F10-2016)/1)-2)^2+0.5*((($F10-2016)/1)-2)^3,IF($F10&lt;=2020,(4-(($F10-2016)/1))^3/6,0)))))</f>
        <v>0</v>
      </c>
      <c r="AJ10" s="16">
        <f>IF($F10&lt;=2017,0,IF($F10&lt;=2018,(($F10-2017)/1)^3/6,IF($F10&lt;=2019,2/3-((($F10-2017)/1)-2)^2-0.5*((($F10-2017)/1)-2)^3,IF($F10&lt;=2020,2/3-((($F10-2017)/1)-2)^2+0.5*((($F10-2017)/1)-2)^3,IF($F10&lt;=2021,(4-(($F10-2017)/1))^3/6,0)))))</f>
        <v>0</v>
      </c>
      <c r="AK10" s="16">
        <f>IF($F10&lt;=2018,0,IF($F10&lt;=2019,(($F10-2018)/1)^3/6,IF($F10&lt;=2020,2/3-((($F10-2018)/1)-2)^2-0.5*((($F10-2018)/1)-2)^3,IF($F10&lt;=2021,2/3-((($F10-2018)/1)-2)^2+0.5*((($F10-2018)/1)-2)^3,IF($F10&lt;=2022,(4-(($F10-2018)/1))^3/6,0)))))</f>
        <v>0</v>
      </c>
    </row>
    <row r="11">
      <c r="A11" s="18" t="n">
        <v>1996</v>
      </c>
      <c r="B11" s="16">
        <f>'Q2(c)_M2'!F24</f>
        <v>-7.0239242598371199</v>
      </c>
      <c r="C11" s="16">
        <f>B11-B10</f>
        <v>0.040334508899647403</v>
      </c>
      <c r="D11" s="16">
        <f>C11-C10</f>
        <v>0.018909898392306199</v>
      </c>
      <c r="F11" s="18" t="n">
        <v>1999</v>
      </c>
      <c r="G11" s="16">
        <f>'M_70_t'!B6</f>
        <v>0.00078849179100953001</v>
      </c>
      <c r="H11" s="16">
        <f>SUMPRODUCT(K11:AK11,$K$5:$AK$5)</f>
        <v>-7.0244769499369397</v>
      </c>
      <c r="I11" s="16">
        <f>EXP(H11)</f>
        <v>0.00088983282502081698</v>
      </c>
      <c r="J11" s="15" t="inlineStr">
        <is>
          <t>Fitted</t>
        </is>
      </c>
      <c r="K11" s="16">
        <f>IF($F11&lt;=1992,0,IF($F11&lt;=1993,(($F11-1992)/1)^3/6,IF($F11&lt;=1994,2/3-((($F11-1992)/1)-2)^2-0.5*((($F11-1992)/1)-2)^3,IF($F11&lt;=1995,2/3-((($F11-1992)/1)-2)^2+0.5*((($F11-1992)/1)-2)^3,IF($F11&lt;=1996,(4-(($F11-1992)/1))^3/6,0)))))</f>
        <v>0</v>
      </c>
      <c r="L11" s="16">
        <f>IF($F11&lt;=1993,0,IF($F11&lt;=1994,(($F11-1993)/1)^3/6,IF($F11&lt;=1995,2/3-((($F11-1993)/1)-2)^2-0.5*((($F11-1993)/1)-2)^3,IF($F11&lt;=1996,2/3-((($F11-1993)/1)-2)^2+0.5*((($F11-1993)/1)-2)^3,IF($F11&lt;=1997,(4-(($F11-1993)/1))^3/6,0)))))</f>
        <v>0</v>
      </c>
      <c r="M11" s="16">
        <f>IF($F11&lt;=1994,0,IF($F11&lt;=1995,(($F11-1994)/1)^3/6,IF($F11&lt;=1996,2/3-((($F11-1994)/1)-2)^2-0.5*((($F11-1994)/1)-2)^3,IF($F11&lt;=1997,2/3-((($F11-1994)/1)-2)^2+0.5*((($F11-1994)/1)-2)^3,IF($F11&lt;=1998,(4-(($F11-1994)/1))^3/6,0)))))</f>
        <v>0</v>
      </c>
      <c r="N11" s="16">
        <f>IF($F11&lt;=1995,0,IF($F11&lt;=1996,(($F11-1995)/1)^3/6,IF($F11&lt;=1997,2/3-((($F11-1995)/1)-2)^2-0.5*((($F11-1995)/1)-2)^3,IF($F11&lt;=1998,2/3-((($F11-1995)/1)-2)^2+0.5*((($F11-1995)/1)-2)^3,IF($F11&lt;=1999,(4-(($F11-1995)/1))^3/6,0)))))</f>
        <v>0</v>
      </c>
      <c r="O11" s="16">
        <f>IF($F11&lt;=1996,0,IF($F11&lt;=1997,(($F11-1996)/1)^3/6,IF($F11&lt;=1998,2/3-((($F11-1996)/1)-2)^2-0.5*((($F11-1996)/1)-2)^3,IF($F11&lt;=1999,2/3-((($F11-1996)/1)-2)^2+0.5*((($F11-1996)/1)-2)^3,IF($F11&lt;=2000,(4-(($F11-1996)/1))^3/6,0)))))</f>
        <v>0.16666666666666699</v>
      </c>
      <c r="P11" s="16">
        <f>IF($F11&lt;=1997,0,IF($F11&lt;=1998,(($F11-1997)/1)^3/6,IF($F11&lt;=1999,2/3-((($F11-1997)/1)-2)^2-0.5*((($F11-1997)/1)-2)^3,IF($F11&lt;=2000,2/3-((($F11-1997)/1)-2)^2+0.5*((($F11-1997)/1)-2)^3,IF($F11&lt;=2001,(4-(($F11-1997)/1))^3/6,0)))))</f>
        <v>0.66666666666666696</v>
      </c>
      <c r="Q11" s="16">
        <f>IF($F11&lt;=1998,0,IF($F11&lt;=1999,(($F11-1998)/1)^3/6,IF($F11&lt;=2000,2/3-((($F11-1998)/1)-2)^2-0.5*((($F11-1998)/1)-2)^3,IF($F11&lt;=2001,2/3-((($F11-1998)/1)-2)^2+0.5*((($F11-1998)/1)-2)^3,IF($F11&lt;=2002,(4-(($F11-1998)/1))^3/6,0)))))</f>
        <v>0.16666666666666699</v>
      </c>
      <c r="R11" s="16">
        <f>IF($F11&lt;=1999,0,IF($F11&lt;=2000,(($F11-1999)/1)^3/6,IF($F11&lt;=2001,2/3-((($F11-1999)/1)-2)^2-0.5*((($F11-1999)/1)-2)^3,IF($F11&lt;=2002,2/3-((($F11-1999)/1)-2)^2+0.5*((($F11-1999)/1)-2)^3,IF($F11&lt;=2003,(4-(($F11-1999)/1))^3/6,0)))))</f>
        <v>0</v>
      </c>
      <c r="S11" s="16">
        <f>IF($F11&lt;=2000,0,IF($F11&lt;=2001,(($F11-2000)/1)^3/6,IF($F11&lt;=2002,2/3-((($F11-2000)/1)-2)^2-0.5*((($F11-2000)/1)-2)^3,IF($F11&lt;=2003,2/3-((($F11-2000)/1)-2)^2+0.5*((($F11-2000)/1)-2)^3,IF($F11&lt;=2004,(4-(($F11-2000)/1))^3/6,0)))))</f>
        <v>0</v>
      </c>
      <c r="T11" s="16">
        <f>IF($F11&lt;=2001,0,IF($F11&lt;=2002,(($F11-2001)/1)^3/6,IF($F11&lt;=2003,2/3-((($F11-2001)/1)-2)^2-0.5*((($F11-2001)/1)-2)^3,IF($F11&lt;=2004,2/3-((($F11-2001)/1)-2)^2+0.5*((($F11-2001)/1)-2)^3,IF($F11&lt;=2005,(4-(($F11-2001)/1))^3/6,0)))))</f>
        <v>0</v>
      </c>
      <c r="U11" s="16">
        <f>IF($F11&lt;=2002,0,IF($F11&lt;=2003,(($F11-2002)/1)^3/6,IF($F11&lt;=2004,2/3-((($F11-2002)/1)-2)^2-0.5*((($F11-2002)/1)-2)^3,IF($F11&lt;=2005,2/3-((($F11-2002)/1)-2)^2+0.5*((($F11-2002)/1)-2)^3,IF($F11&lt;=2006,(4-(($F11-2002)/1))^3/6,0)))))</f>
        <v>0</v>
      </c>
      <c r="V11" s="16">
        <f>IF($F11&lt;=2003,0,IF($F11&lt;=2004,(($F11-2003)/1)^3/6,IF($F11&lt;=2005,2/3-((($F11-2003)/1)-2)^2-0.5*((($F11-2003)/1)-2)^3,IF($F11&lt;=2006,2/3-((($F11-2003)/1)-2)^2+0.5*((($F11-2003)/1)-2)^3,IF($F11&lt;=2007,(4-(($F11-2003)/1))^3/6,0)))))</f>
        <v>0</v>
      </c>
      <c r="W11" s="16">
        <f>IF($F11&lt;=2004,0,IF($F11&lt;=2005,(($F11-2004)/1)^3/6,IF($F11&lt;=2006,2/3-((($F11-2004)/1)-2)^2-0.5*((($F11-2004)/1)-2)^3,IF($F11&lt;=2007,2/3-((($F11-2004)/1)-2)^2+0.5*((($F11-2004)/1)-2)^3,IF($F11&lt;=2008,(4-(($F11-2004)/1))^3/6,0)))))</f>
        <v>0</v>
      </c>
      <c r="X11" s="16">
        <f>IF($F11&lt;=2005,0,IF($F11&lt;=2006,(($F11-2005)/1)^3/6,IF($F11&lt;=2007,2/3-((($F11-2005)/1)-2)^2-0.5*((($F11-2005)/1)-2)^3,IF($F11&lt;=2008,2/3-((($F11-2005)/1)-2)^2+0.5*((($F11-2005)/1)-2)^3,IF($F11&lt;=2009,(4-(($F11-2005)/1))^3/6,0)))))</f>
        <v>0</v>
      </c>
      <c r="Y11" s="16">
        <f>IF($F11&lt;=2006,0,IF($F11&lt;=2007,(($F11-2006)/1)^3/6,IF($F11&lt;=2008,2/3-((($F11-2006)/1)-2)^2-0.5*((($F11-2006)/1)-2)^3,IF($F11&lt;=2009,2/3-((($F11-2006)/1)-2)^2+0.5*((($F11-2006)/1)-2)^3,IF($F11&lt;=2010,(4-(($F11-2006)/1))^3/6,0)))))</f>
        <v>0</v>
      </c>
      <c r="Z11" s="16">
        <f>IF($F11&lt;=2007,0,IF($F11&lt;=2008,(($F11-2007)/1)^3/6,IF($F11&lt;=2009,2/3-((($F11-2007)/1)-2)^2-0.5*((($F11-2007)/1)-2)^3,IF($F11&lt;=2010,2/3-((($F11-2007)/1)-2)^2+0.5*((($F11-2007)/1)-2)^3,IF($F11&lt;=2011,(4-(($F11-2007)/1))^3/6,0)))))</f>
        <v>0</v>
      </c>
      <c r="AA11" s="16">
        <f>IF($F11&lt;=2008,0,IF($F11&lt;=2009,(($F11-2008)/1)^3/6,IF($F11&lt;=2010,2/3-((($F11-2008)/1)-2)^2-0.5*((($F11-2008)/1)-2)^3,IF($F11&lt;=2011,2/3-((($F11-2008)/1)-2)^2+0.5*((($F11-2008)/1)-2)^3,IF($F11&lt;=2012,(4-(($F11-2008)/1))^3/6,0)))))</f>
        <v>0</v>
      </c>
      <c r="AB11" s="16">
        <f>IF($F11&lt;=2009,0,IF($F11&lt;=2010,(($F11-2009)/1)^3/6,IF($F11&lt;=2011,2/3-((($F11-2009)/1)-2)^2-0.5*((($F11-2009)/1)-2)^3,IF($F11&lt;=2012,2/3-((($F11-2009)/1)-2)^2+0.5*((($F11-2009)/1)-2)^3,IF($F11&lt;=2013,(4-(($F11-2009)/1))^3/6,0)))))</f>
        <v>0</v>
      </c>
      <c r="AC11" s="16">
        <f>IF($F11&lt;=2010,0,IF($F11&lt;=2011,(($F11-2010)/1)^3/6,IF($F11&lt;=2012,2/3-((($F11-2010)/1)-2)^2-0.5*((($F11-2010)/1)-2)^3,IF($F11&lt;=2013,2/3-((($F11-2010)/1)-2)^2+0.5*((($F11-2010)/1)-2)^3,IF($F11&lt;=2014,(4-(($F11-2010)/1))^3/6,0)))))</f>
        <v>0</v>
      </c>
      <c r="AD11" s="16">
        <f>IF($F11&lt;=2011,0,IF($F11&lt;=2012,(($F11-2011)/1)^3/6,IF($F11&lt;=2013,2/3-((($F11-2011)/1)-2)^2-0.5*((($F11-2011)/1)-2)^3,IF($F11&lt;=2014,2/3-((($F11-2011)/1)-2)^2+0.5*((($F11-2011)/1)-2)^3,IF($F11&lt;=2015,(4-(($F11-2011)/1))^3/6,0)))))</f>
        <v>0</v>
      </c>
      <c r="AE11" s="16">
        <f>IF($F11&lt;=2012,0,IF($F11&lt;=2013,(($F11-2012)/1)^3/6,IF($F11&lt;=2014,2/3-((($F11-2012)/1)-2)^2-0.5*((($F11-2012)/1)-2)^3,IF($F11&lt;=2015,2/3-((($F11-2012)/1)-2)^2+0.5*((($F11-2012)/1)-2)^3,IF($F11&lt;=2016,(4-(($F11-2012)/1))^3/6,0)))))</f>
        <v>0</v>
      </c>
      <c r="AF11" s="16">
        <f>IF($F11&lt;=2013,0,IF($F11&lt;=2014,(($F11-2013)/1)^3/6,IF($F11&lt;=2015,2/3-((($F11-2013)/1)-2)^2-0.5*((($F11-2013)/1)-2)^3,IF($F11&lt;=2016,2/3-((($F11-2013)/1)-2)^2+0.5*((($F11-2013)/1)-2)^3,IF($F11&lt;=2017,(4-(($F11-2013)/1))^3/6,0)))))</f>
        <v>0</v>
      </c>
      <c r="AG11" s="16">
        <f>IF($F11&lt;=2014,0,IF($F11&lt;=2015,(($F11-2014)/1)^3/6,IF($F11&lt;=2016,2/3-((($F11-2014)/1)-2)^2-0.5*((($F11-2014)/1)-2)^3,IF($F11&lt;=2017,2/3-((($F11-2014)/1)-2)^2+0.5*((($F11-2014)/1)-2)^3,IF($F11&lt;=2018,(4-(($F11-2014)/1))^3/6,0)))))</f>
        <v>0</v>
      </c>
      <c r="AH11" s="16">
        <f>IF($F11&lt;=2015,0,IF($F11&lt;=2016,(($F11-2015)/1)^3/6,IF($F11&lt;=2017,2/3-((($F11-2015)/1)-2)^2-0.5*((($F11-2015)/1)-2)^3,IF($F11&lt;=2018,2/3-((($F11-2015)/1)-2)^2+0.5*((($F11-2015)/1)-2)^3,IF($F11&lt;=2019,(4-(($F11-2015)/1))^3/6,0)))))</f>
        <v>0</v>
      </c>
      <c r="AI11" s="16">
        <f>IF($F11&lt;=2016,0,IF($F11&lt;=2017,(($F11-2016)/1)^3/6,IF($F11&lt;=2018,2/3-((($F11-2016)/1)-2)^2-0.5*((($F11-2016)/1)-2)^3,IF($F11&lt;=2019,2/3-((($F11-2016)/1)-2)^2+0.5*((($F11-2016)/1)-2)^3,IF($F11&lt;=2020,(4-(($F11-2016)/1))^3/6,0)))))</f>
        <v>0</v>
      </c>
      <c r="AJ11" s="16">
        <f>IF($F11&lt;=2017,0,IF($F11&lt;=2018,(($F11-2017)/1)^3/6,IF($F11&lt;=2019,2/3-((($F11-2017)/1)-2)^2-0.5*((($F11-2017)/1)-2)^3,IF($F11&lt;=2020,2/3-((($F11-2017)/1)-2)^2+0.5*((($F11-2017)/1)-2)^3,IF($F11&lt;=2021,(4-(($F11-2017)/1))^3/6,0)))))</f>
        <v>0</v>
      </c>
      <c r="AK11" s="16">
        <f>IF($F11&lt;=2018,0,IF($F11&lt;=2019,(($F11-2018)/1)^3/6,IF($F11&lt;=2020,2/3-((($F11-2018)/1)-2)^2-0.5*((($F11-2018)/1)-2)^3,IF($F11&lt;=2021,2/3-((($F11-2018)/1)-2)^2+0.5*((($F11-2018)/1)-2)^3,IF($F11&lt;=2022,(4-(($F11-2018)/1))^3/6,0)))))</f>
        <v>0</v>
      </c>
    </row>
    <row r="12">
      <c r="A12" s="18" t="n">
        <v>1997</v>
      </c>
      <c r="B12" s="16">
        <f>'Q2(c)_M2'!G24</f>
        <v>-7.0210745947073896</v>
      </c>
      <c r="C12" s="16">
        <f>B12-B11</f>
        <v>0.0028496651297302798</v>
      </c>
      <c r="D12" s="16">
        <f>C12-C11</f>
        <v>-0.037484843769917099</v>
      </c>
      <c r="F12" s="18" t="n">
        <v>2000</v>
      </c>
      <c r="G12" s="16">
        <f>'M_70_t'!B7</f>
        <v>0.00099667191302858196</v>
      </c>
      <c r="H12" s="16">
        <f>SUMPRODUCT(K12:AK12,$K$5:$AK$5)</f>
        <v>-7.05266312024591</v>
      </c>
      <c r="I12" s="16">
        <f>EXP(H12)</f>
        <v>0.00086510201614561303</v>
      </c>
      <c r="J12" s="15" t="inlineStr">
        <is>
          <t>Fitted</t>
        </is>
      </c>
      <c r="K12" s="16">
        <f>IF($F12&lt;=1992,0,IF($F12&lt;=1993,(($F12-1992)/1)^3/6,IF($F12&lt;=1994,2/3-((($F12-1992)/1)-2)^2-0.5*((($F12-1992)/1)-2)^3,IF($F12&lt;=1995,2/3-((($F12-1992)/1)-2)^2+0.5*((($F12-1992)/1)-2)^3,IF($F12&lt;=1996,(4-(($F12-1992)/1))^3/6,0)))))</f>
        <v>0</v>
      </c>
      <c r="L12" s="16">
        <f>IF($F12&lt;=1993,0,IF($F12&lt;=1994,(($F12-1993)/1)^3/6,IF($F12&lt;=1995,2/3-((($F12-1993)/1)-2)^2-0.5*((($F12-1993)/1)-2)^3,IF($F12&lt;=1996,2/3-((($F12-1993)/1)-2)^2+0.5*((($F12-1993)/1)-2)^3,IF($F12&lt;=1997,(4-(($F12-1993)/1))^3/6,0)))))</f>
        <v>0</v>
      </c>
      <c r="M12" s="16">
        <f>IF($F12&lt;=1994,0,IF($F12&lt;=1995,(($F12-1994)/1)^3/6,IF($F12&lt;=1996,2/3-((($F12-1994)/1)-2)^2-0.5*((($F12-1994)/1)-2)^3,IF($F12&lt;=1997,2/3-((($F12-1994)/1)-2)^2+0.5*((($F12-1994)/1)-2)^3,IF($F12&lt;=1998,(4-(($F12-1994)/1))^3/6,0)))))</f>
        <v>0</v>
      </c>
      <c r="N12" s="16">
        <f>IF($F12&lt;=1995,0,IF($F12&lt;=1996,(($F12-1995)/1)^3/6,IF($F12&lt;=1997,2/3-((($F12-1995)/1)-2)^2-0.5*((($F12-1995)/1)-2)^3,IF($F12&lt;=1998,2/3-((($F12-1995)/1)-2)^2+0.5*((($F12-1995)/1)-2)^3,IF($F12&lt;=1999,(4-(($F12-1995)/1))^3/6,0)))))</f>
        <v>0</v>
      </c>
      <c r="O12" s="16">
        <f>IF($F12&lt;=1996,0,IF($F12&lt;=1997,(($F12-1996)/1)^3/6,IF($F12&lt;=1998,2/3-((($F12-1996)/1)-2)^2-0.5*((($F12-1996)/1)-2)^3,IF($F12&lt;=1999,2/3-((($F12-1996)/1)-2)^2+0.5*((($F12-1996)/1)-2)^3,IF($F12&lt;=2000,(4-(($F12-1996)/1))^3/6,0)))))</f>
        <v>0</v>
      </c>
      <c r="P12" s="16">
        <f>IF($F12&lt;=1997,0,IF($F12&lt;=1998,(($F12-1997)/1)^3/6,IF($F12&lt;=1999,2/3-((($F12-1997)/1)-2)^2-0.5*((($F12-1997)/1)-2)^3,IF($F12&lt;=2000,2/3-((($F12-1997)/1)-2)^2+0.5*((($F12-1997)/1)-2)^3,IF($F12&lt;=2001,(4-(($F12-1997)/1))^3/6,0)))))</f>
        <v>0.16666666666666699</v>
      </c>
      <c r="Q12" s="16">
        <f>IF($F12&lt;=1998,0,IF($F12&lt;=1999,(($F12-1998)/1)^3/6,IF($F12&lt;=2000,2/3-((($F12-1998)/1)-2)^2-0.5*((($F12-1998)/1)-2)^3,IF($F12&lt;=2001,2/3-((($F12-1998)/1)-2)^2+0.5*((($F12-1998)/1)-2)^3,IF($F12&lt;=2002,(4-(($F12-1998)/1))^3/6,0)))))</f>
        <v>0.66666666666666696</v>
      </c>
      <c r="R12" s="16">
        <f>IF($F12&lt;=1999,0,IF($F12&lt;=2000,(($F12-1999)/1)^3/6,IF($F12&lt;=2001,2/3-((($F12-1999)/1)-2)^2-0.5*((($F12-1999)/1)-2)^3,IF($F12&lt;=2002,2/3-((($F12-1999)/1)-2)^2+0.5*((($F12-1999)/1)-2)^3,IF($F12&lt;=2003,(4-(($F12-1999)/1))^3/6,0)))))</f>
        <v>0.16666666666666699</v>
      </c>
      <c r="S12" s="16">
        <f>IF($F12&lt;=2000,0,IF($F12&lt;=2001,(($F12-2000)/1)^3/6,IF($F12&lt;=2002,2/3-((($F12-2000)/1)-2)^2-0.5*((($F12-2000)/1)-2)^3,IF($F12&lt;=2003,2/3-((($F12-2000)/1)-2)^2+0.5*((($F12-2000)/1)-2)^3,IF($F12&lt;=2004,(4-(($F12-2000)/1))^3/6,0)))))</f>
        <v>0</v>
      </c>
      <c r="T12" s="16">
        <f>IF($F12&lt;=2001,0,IF($F12&lt;=2002,(($F12-2001)/1)^3/6,IF($F12&lt;=2003,2/3-((($F12-2001)/1)-2)^2-0.5*((($F12-2001)/1)-2)^3,IF($F12&lt;=2004,2/3-((($F12-2001)/1)-2)^2+0.5*((($F12-2001)/1)-2)^3,IF($F12&lt;=2005,(4-(($F12-2001)/1))^3/6,0)))))</f>
        <v>0</v>
      </c>
      <c r="U12" s="16">
        <f>IF($F12&lt;=2002,0,IF($F12&lt;=2003,(($F12-2002)/1)^3/6,IF($F12&lt;=2004,2/3-((($F12-2002)/1)-2)^2-0.5*((($F12-2002)/1)-2)^3,IF($F12&lt;=2005,2/3-((($F12-2002)/1)-2)^2+0.5*((($F12-2002)/1)-2)^3,IF($F12&lt;=2006,(4-(($F12-2002)/1))^3/6,0)))))</f>
        <v>0</v>
      </c>
      <c r="V12" s="16">
        <f>IF($F12&lt;=2003,0,IF($F12&lt;=2004,(($F12-2003)/1)^3/6,IF($F12&lt;=2005,2/3-((($F12-2003)/1)-2)^2-0.5*((($F12-2003)/1)-2)^3,IF($F12&lt;=2006,2/3-((($F12-2003)/1)-2)^2+0.5*((($F12-2003)/1)-2)^3,IF($F12&lt;=2007,(4-(($F12-2003)/1))^3/6,0)))))</f>
        <v>0</v>
      </c>
      <c r="W12" s="16">
        <f>IF($F12&lt;=2004,0,IF($F12&lt;=2005,(($F12-2004)/1)^3/6,IF($F12&lt;=2006,2/3-((($F12-2004)/1)-2)^2-0.5*((($F12-2004)/1)-2)^3,IF($F12&lt;=2007,2/3-((($F12-2004)/1)-2)^2+0.5*((($F12-2004)/1)-2)^3,IF($F12&lt;=2008,(4-(($F12-2004)/1))^3/6,0)))))</f>
        <v>0</v>
      </c>
      <c r="X12" s="16">
        <f>IF($F12&lt;=2005,0,IF($F12&lt;=2006,(($F12-2005)/1)^3/6,IF($F12&lt;=2007,2/3-((($F12-2005)/1)-2)^2-0.5*((($F12-2005)/1)-2)^3,IF($F12&lt;=2008,2/3-((($F12-2005)/1)-2)^2+0.5*((($F12-2005)/1)-2)^3,IF($F12&lt;=2009,(4-(($F12-2005)/1))^3/6,0)))))</f>
        <v>0</v>
      </c>
      <c r="Y12" s="16">
        <f>IF($F12&lt;=2006,0,IF($F12&lt;=2007,(($F12-2006)/1)^3/6,IF($F12&lt;=2008,2/3-((($F12-2006)/1)-2)^2-0.5*((($F12-2006)/1)-2)^3,IF($F12&lt;=2009,2/3-((($F12-2006)/1)-2)^2+0.5*((($F12-2006)/1)-2)^3,IF($F12&lt;=2010,(4-(($F12-2006)/1))^3/6,0)))))</f>
        <v>0</v>
      </c>
      <c r="Z12" s="16">
        <f>IF($F12&lt;=2007,0,IF($F12&lt;=2008,(($F12-2007)/1)^3/6,IF($F12&lt;=2009,2/3-((($F12-2007)/1)-2)^2-0.5*((($F12-2007)/1)-2)^3,IF($F12&lt;=2010,2/3-((($F12-2007)/1)-2)^2+0.5*((($F12-2007)/1)-2)^3,IF($F12&lt;=2011,(4-(($F12-2007)/1))^3/6,0)))))</f>
        <v>0</v>
      </c>
      <c r="AA12" s="16">
        <f>IF($F12&lt;=2008,0,IF($F12&lt;=2009,(($F12-2008)/1)^3/6,IF($F12&lt;=2010,2/3-((($F12-2008)/1)-2)^2-0.5*((($F12-2008)/1)-2)^3,IF($F12&lt;=2011,2/3-((($F12-2008)/1)-2)^2+0.5*((($F12-2008)/1)-2)^3,IF($F12&lt;=2012,(4-(($F12-2008)/1))^3/6,0)))))</f>
        <v>0</v>
      </c>
      <c r="AB12" s="16">
        <f>IF($F12&lt;=2009,0,IF($F12&lt;=2010,(($F12-2009)/1)^3/6,IF($F12&lt;=2011,2/3-((($F12-2009)/1)-2)^2-0.5*((($F12-2009)/1)-2)^3,IF($F12&lt;=2012,2/3-((($F12-2009)/1)-2)^2+0.5*((($F12-2009)/1)-2)^3,IF($F12&lt;=2013,(4-(($F12-2009)/1))^3/6,0)))))</f>
        <v>0</v>
      </c>
      <c r="AC12" s="16">
        <f>IF($F12&lt;=2010,0,IF($F12&lt;=2011,(($F12-2010)/1)^3/6,IF($F12&lt;=2012,2/3-((($F12-2010)/1)-2)^2-0.5*((($F12-2010)/1)-2)^3,IF($F12&lt;=2013,2/3-((($F12-2010)/1)-2)^2+0.5*((($F12-2010)/1)-2)^3,IF($F12&lt;=2014,(4-(($F12-2010)/1))^3/6,0)))))</f>
        <v>0</v>
      </c>
      <c r="AD12" s="16">
        <f>IF($F12&lt;=2011,0,IF($F12&lt;=2012,(($F12-2011)/1)^3/6,IF($F12&lt;=2013,2/3-((($F12-2011)/1)-2)^2-0.5*((($F12-2011)/1)-2)^3,IF($F12&lt;=2014,2/3-((($F12-2011)/1)-2)^2+0.5*((($F12-2011)/1)-2)^3,IF($F12&lt;=2015,(4-(($F12-2011)/1))^3/6,0)))))</f>
        <v>0</v>
      </c>
      <c r="AE12" s="16">
        <f>IF($F12&lt;=2012,0,IF($F12&lt;=2013,(($F12-2012)/1)^3/6,IF($F12&lt;=2014,2/3-((($F12-2012)/1)-2)^2-0.5*((($F12-2012)/1)-2)^3,IF($F12&lt;=2015,2/3-((($F12-2012)/1)-2)^2+0.5*((($F12-2012)/1)-2)^3,IF($F12&lt;=2016,(4-(($F12-2012)/1))^3/6,0)))))</f>
        <v>0</v>
      </c>
      <c r="AF12" s="16">
        <f>IF($F12&lt;=2013,0,IF($F12&lt;=2014,(($F12-2013)/1)^3/6,IF($F12&lt;=2015,2/3-((($F12-2013)/1)-2)^2-0.5*((($F12-2013)/1)-2)^3,IF($F12&lt;=2016,2/3-((($F12-2013)/1)-2)^2+0.5*((($F12-2013)/1)-2)^3,IF($F12&lt;=2017,(4-(($F12-2013)/1))^3/6,0)))))</f>
        <v>0</v>
      </c>
      <c r="AG12" s="16">
        <f>IF($F12&lt;=2014,0,IF($F12&lt;=2015,(($F12-2014)/1)^3/6,IF($F12&lt;=2016,2/3-((($F12-2014)/1)-2)^2-0.5*((($F12-2014)/1)-2)^3,IF($F12&lt;=2017,2/3-((($F12-2014)/1)-2)^2+0.5*((($F12-2014)/1)-2)^3,IF($F12&lt;=2018,(4-(($F12-2014)/1))^3/6,0)))))</f>
        <v>0</v>
      </c>
      <c r="AH12" s="16">
        <f>IF($F12&lt;=2015,0,IF($F12&lt;=2016,(($F12-2015)/1)^3/6,IF($F12&lt;=2017,2/3-((($F12-2015)/1)-2)^2-0.5*((($F12-2015)/1)-2)^3,IF($F12&lt;=2018,2/3-((($F12-2015)/1)-2)^2+0.5*((($F12-2015)/1)-2)^3,IF($F12&lt;=2019,(4-(($F12-2015)/1))^3/6,0)))))</f>
        <v>0</v>
      </c>
      <c r="AI12" s="16">
        <f>IF($F12&lt;=2016,0,IF($F12&lt;=2017,(($F12-2016)/1)^3/6,IF($F12&lt;=2018,2/3-((($F12-2016)/1)-2)^2-0.5*((($F12-2016)/1)-2)^3,IF($F12&lt;=2019,2/3-((($F12-2016)/1)-2)^2+0.5*((($F12-2016)/1)-2)^3,IF($F12&lt;=2020,(4-(($F12-2016)/1))^3/6,0)))))</f>
        <v>0</v>
      </c>
      <c r="AJ12" s="16">
        <f>IF($F12&lt;=2017,0,IF($F12&lt;=2018,(($F12-2017)/1)^3/6,IF($F12&lt;=2019,2/3-((($F12-2017)/1)-2)^2-0.5*((($F12-2017)/1)-2)^3,IF($F12&lt;=2020,2/3-((($F12-2017)/1)-2)^2+0.5*((($F12-2017)/1)-2)^3,IF($F12&lt;=2021,(4-(($F12-2017)/1))^3/6,0)))))</f>
        <v>0</v>
      </c>
      <c r="AK12" s="16">
        <f>IF($F12&lt;=2018,0,IF($F12&lt;=2019,(($F12-2018)/1)^3/6,IF($F12&lt;=2020,2/3-((($F12-2018)/1)-2)^2-0.5*((($F12-2018)/1)-2)^3,IF($F12&lt;=2021,2/3-((($F12-2018)/1)-2)^2+0.5*((($F12-2018)/1)-2)^3,IF($F12&lt;=2022,(4-(($F12-2018)/1))^3/6,0)))))</f>
        <v>0</v>
      </c>
    </row>
    <row r="13">
      <c r="A13" s="18" t="n">
        <v>1998</v>
      </c>
      <c r="B13" s="16">
        <f>'Q2(c)_M2'!H24</f>
        <v>-7.0386390609549796</v>
      </c>
      <c r="C13" s="16">
        <f>B13-B12</f>
        <v>-0.017564466247598901</v>
      </c>
      <c r="D13" s="16">
        <f>C13-C12</f>
        <v>-0.020414131377329201</v>
      </c>
      <c r="F13" s="18" t="n">
        <v>2001</v>
      </c>
      <c r="G13" s="16">
        <f>'M_70_t'!B8</f>
        <v>0.00075112817897161302</v>
      </c>
      <c r="H13" s="16">
        <f>SUMPRODUCT(K13:AK13,$K$5:$AK$5)</f>
        <v>-7.1430755091289004</v>
      </c>
      <c r="I13" s="16">
        <f>EXP(H13)</f>
        <v>0.00079031772554067898</v>
      </c>
      <c r="J13" s="15" t="inlineStr">
        <is>
          <t>Fitted</t>
        </is>
      </c>
      <c r="K13" s="16">
        <f>IF($F13&lt;=1992,0,IF($F13&lt;=1993,(($F13-1992)/1)^3/6,IF($F13&lt;=1994,2/3-((($F13-1992)/1)-2)^2-0.5*((($F13-1992)/1)-2)^3,IF($F13&lt;=1995,2/3-((($F13-1992)/1)-2)^2+0.5*((($F13-1992)/1)-2)^3,IF($F13&lt;=1996,(4-(($F13-1992)/1))^3/6,0)))))</f>
        <v>0</v>
      </c>
      <c r="L13" s="16">
        <f>IF($F13&lt;=1993,0,IF($F13&lt;=1994,(($F13-1993)/1)^3/6,IF($F13&lt;=1995,2/3-((($F13-1993)/1)-2)^2-0.5*((($F13-1993)/1)-2)^3,IF($F13&lt;=1996,2/3-((($F13-1993)/1)-2)^2+0.5*((($F13-1993)/1)-2)^3,IF($F13&lt;=1997,(4-(($F13-1993)/1))^3/6,0)))))</f>
        <v>0</v>
      </c>
      <c r="M13" s="16">
        <f>IF($F13&lt;=1994,0,IF($F13&lt;=1995,(($F13-1994)/1)^3/6,IF($F13&lt;=1996,2/3-((($F13-1994)/1)-2)^2-0.5*((($F13-1994)/1)-2)^3,IF($F13&lt;=1997,2/3-((($F13-1994)/1)-2)^2+0.5*((($F13-1994)/1)-2)^3,IF($F13&lt;=1998,(4-(($F13-1994)/1))^3/6,0)))))</f>
        <v>0</v>
      </c>
      <c r="N13" s="16">
        <f>IF($F13&lt;=1995,0,IF($F13&lt;=1996,(($F13-1995)/1)^3/6,IF($F13&lt;=1997,2/3-((($F13-1995)/1)-2)^2-0.5*((($F13-1995)/1)-2)^3,IF($F13&lt;=1998,2/3-((($F13-1995)/1)-2)^2+0.5*((($F13-1995)/1)-2)^3,IF($F13&lt;=1999,(4-(($F13-1995)/1))^3/6,0)))))</f>
        <v>0</v>
      </c>
      <c r="O13" s="16">
        <f>IF($F13&lt;=1996,0,IF($F13&lt;=1997,(($F13-1996)/1)^3/6,IF($F13&lt;=1998,2/3-((($F13-1996)/1)-2)^2-0.5*((($F13-1996)/1)-2)^3,IF($F13&lt;=1999,2/3-((($F13-1996)/1)-2)^2+0.5*((($F13-1996)/1)-2)^3,IF($F13&lt;=2000,(4-(($F13-1996)/1))^3/6,0)))))</f>
        <v>0</v>
      </c>
      <c r="P13" s="16">
        <f>IF($F13&lt;=1997,0,IF($F13&lt;=1998,(($F13-1997)/1)^3/6,IF($F13&lt;=1999,2/3-((($F13-1997)/1)-2)^2-0.5*((($F13-1997)/1)-2)^3,IF($F13&lt;=2000,2/3-((($F13-1997)/1)-2)^2+0.5*((($F13-1997)/1)-2)^3,IF($F13&lt;=2001,(4-(($F13-1997)/1))^3/6,0)))))</f>
        <v>0</v>
      </c>
      <c r="Q13" s="16">
        <f>IF($F13&lt;=1998,0,IF($F13&lt;=1999,(($F13-1998)/1)^3/6,IF($F13&lt;=2000,2/3-((($F13-1998)/1)-2)^2-0.5*((($F13-1998)/1)-2)^3,IF($F13&lt;=2001,2/3-((($F13-1998)/1)-2)^2+0.5*((($F13-1998)/1)-2)^3,IF($F13&lt;=2002,(4-(($F13-1998)/1))^3/6,0)))))</f>
        <v>0.16666666666666699</v>
      </c>
      <c r="R13" s="16">
        <f>IF($F13&lt;=1999,0,IF($F13&lt;=2000,(($F13-1999)/1)^3/6,IF($F13&lt;=2001,2/3-((($F13-1999)/1)-2)^2-0.5*((($F13-1999)/1)-2)^3,IF($F13&lt;=2002,2/3-((($F13-1999)/1)-2)^2+0.5*((($F13-1999)/1)-2)^3,IF($F13&lt;=2003,(4-(($F13-1999)/1))^3/6,0)))))</f>
        <v>0.66666666666666696</v>
      </c>
      <c r="S13" s="16">
        <f>IF($F13&lt;=2000,0,IF($F13&lt;=2001,(($F13-2000)/1)^3/6,IF($F13&lt;=2002,2/3-((($F13-2000)/1)-2)^2-0.5*((($F13-2000)/1)-2)^3,IF($F13&lt;=2003,2/3-((($F13-2000)/1)-2)^2+0.5*((($F13-2000)/1)-2)^3,IF($F13&lt;=2004,(4-(($F13-2000)/1))^3/6,0)))))</f>
        <v>0.16666666666666699</v>
      </c>
      <c r="T13" s="16">
        <f>IF($F13&lt;=2001,0,IF($F13&lt;=2002,(($F13-2001)/1)^3/6,IF($F13&lt;=2003,2/3-((($F13-2001)/1)-2)^2-0.5*((($F13-2001)/1)-2)^3,IF($F13&lt;=2004,2/3-((($F13-2001)/1)-2)^2+0.5*((($F13-2001)/1)-2)^3,IF($F13&lt;=2005,(4-(($F13-2001)/1))^3/6,0)))))</f>
        <v>0</v>
      </c>
      <c r="U13" s="16">
        <f>IF($F13&lt;=2002,0,IF($F13&lt;=2003,(($F13-2002)/1)^3/6,IF($F13&lt;=2004,2/3-((($F13-2002)/1)-2)^2-0.5*((($F13-2002)/1)-2)^3,IF($F13&lt;=2005,2/3-((($F13-2002)/1)-2)^2+0.5*((($F13-2002)/1)-2)^3,IF($F13&lt;=2006,(4-(($F13-2002)/1))^3/6,0)))))</f>
        <v>0</v>
      </c>
      <c r="V13" s="16">
        <f>IF($F13&lt;=2003,0,IF($F13&lt;=2004,(($F13-2003)/1)^3/6,IF($F13&lt;=2005,2/3-((($F13-2003)/1)-2)^2-0.5*((($F13-2003)/1)-2)^3,IF($F13&lt;=2006,2/3-((($F13-2003)/1)-2)^2+0.5*((($F13-2003)/1)-2)^3,IF($F13&lt;=2007,(4-(($F13-2003)/1))^3/6,0)))))</f>
        <v>0</v>
      </c>
      <c r="W13" s="16">
        <f>IF($F13&lt;=2004,0,IF($F13&lt;=2005,(($F13-2004)/1)^3/6,IF($F13&lt;=2006,2/3-((($F13-2004)/1)-2)^2-0.5*((($F13-2004)/1)-2)^3,IF($F13&lt;=2007,2/3-((($F13-2004)/1)-2)^2+0.5*((($F13-2004)/1)-2)^3,IF($F13&lt;=2008,(4-(($F13-2004)/1))^3/6,0)))))</f>
        <v>0</v>
      </c>
      <c r="X13" s="16">
        <f>IF($F13&lt;=2005,0,IF($F13&lt;=2006,(($F13-2005)/1)^3/6,IF($F13&lt;=2007,2/3-((($F13-2005)/1)-2)^2-0.5*((($F13-2005)/1)-2)^3,IF($F13&lt;=2008,2/3-((($F13-2005)/1)-2)^2+0.5*((($F13-2005)/1)-2)^3,IF($F13&lt;=2009,(4-(($F13-2005)/1))^3/6,0)))))</f>
        <v>0</v>
      </c>
      <c r="Y13" s="16">
        <f>IF($F13&lt;=2006,0,IF($F13&lt;=2007,(($F13-2006)/1)^3/6,IF($F13&lt;=2008,2/3-((($F13-2006)/1)-2)^2-0.5*((($F13-2006)/1)-2)^3,IF($F13&lt;=2009,2/3-((($F13-2006)/1)-2)^2+0.5*((($F13-2006)/1)-2)^3,IF($F13&lt;=2010,(4-(($F13-2006)/1))^3/6,0)))))</f>
        <v>0</v>
      </c>
      <c r="Z13" s="16">
        <f>IF($F13&lt;=2007,0,IF($F13&lt;=2008,(($F13-2007)/1)^3/6,IF($F13&lt;=2009,2/3-((($F13-2007)/1)-2)^2-0.5*((($F13-2007)/1)-2)^3,IF($F13&lt;=2010,2/3-((($F13-2007)/1)-2)^2+0.5*((($F13-2007)/1)-2)^3,IF($F13&lt;=2011,(4-(($F13-2007)/1))^3/6,0)))))</f>
        <v>0</v>
      </c>
      <c r="AA13" s="16">
        <f>IF($F13&lt;=2008,0,IF($F13&lt;=2009,(($F13-2008)/1)^3/6,IF($F13&lt;=2010,2/3-((($F13-2008)/1)-2)^2-0.5*((($F13-2008)/1)-2)^3,IF($F13&lt;=2011,2/3-((($F13-2008)/1)-2)^2+0.5*((($F13-2008)/1)-2)^3,IF($F13&lt;=2012,(4-(($F13-2008)/1))^3/6,0)))))</f>
        <v>0</v>
      </c>
      <c r="AB13" s="16">
        <f>IF($F13&lt;=2009,0,IF($F13&lt;=2010,(($F13-2009)/1)^3/6,IF($F13&lt;=2011,2/3-((($F13-2009)/1)-2)^2-0.5*((($F13-2009)/1)-2)^3,IF($F13&lt;=2012,2/3-((($F13-2009)/1)-2)^2+0.5*((($F13-2009)/1)-2)^3,IF($F13&lt;=2013,(4-(($F13-2009)/1))^3/6,0)))))</f>
        <v>0</v>
      </c>
      <c r="AC13" s="16">
        <f>IF($F13&lt;=2010,0,IF($F13&lt;=2011,(($F13-2010)/1)^3/6,IF($F13&lt;=2012,2/3-((($F13-2010)/1)-2)^2-0.5*((($F13-2010)/1)-2)^3,IF($F13&lt;=2013,2/3-((($F13-2010)/1)-2)^2+0.5*((($F13-2010)/1)-2)^3,IF($F13&lt;=2014,(4-(($F13-2010)/1))^3/6,0)))))</f>
        <v>0</v>
      </c>
      <c r="AD13" s="16">
        <f>IF($F13&lt;=2011,0,IF($F13&lt;=2012,(($F13-2011)/1)^3/6,IF($F13&lt;=2013,2/3-((($F13-2011)/1)-2)^2-0.5*((($F13-2011)/1)-2)^3,IF($F13&lt;=2014,2/3-((($F13-2011)/1)-2)^2+0.5*((($F13-2011)/1)-2)^3,IF($F13&lt;=2015,(4-(($F13-2011)/1))^3/6,0)))))</f>
        <v>0</v>
      </c>
      <c r="AE13" s="16">
        <f>IF($F13&lt;=2012,0,IF($F13&lt;=2013,(($F13-2012)/1)^3/6,IF($F13&lt;=2014,2/3-((($F13-2012)/1)-2)^2-0.5*((($F13-2012)/1)-2)^3,IF($F13&lt;=2015,2/3-((($F13-2012)/1)-2)^2+0.5*((($F13-2012)/1)-2)^3,IF($F13&lt;=2016,(4-(($F13-2012)/1))^3/6,0)))))</f>
        <v>0</v>
      </c>
      <c r="AF13" s="16">
        <f>IF($F13&lt;=2013,0,IF($F13&lt;=2014,(($F13-2013)/1)^3/6,IF($F13&lt;=2015,2/3-((($F13-2013)/1)-2)^2-0.5*((($F13-2013)/1)-2)^3,IF($F13&lt;=2016,2/3-((($F13-2013)/1)-2)^2+0.5*((($F13-2013)/1)-2)^3,IF($F13&lt;=2017,(4-(($F13-2013)/1))^3/6,0)))))</f>
        <v>0</v>
      </c>
      <c r="AG13" s="16">
        <f>IF($F13&lt;=2014,0,IF($F13&lt;=2015,(($F13-2014)/1)^3/6,IF($F13&lt;=2016,2/3-((($F13-2014)/1)-2)^2-0.5*((($F13-2014)/1)-2)^3,IF($F13&lt;=2017,2/3-((($F13-2014)/1)-2)^2+0.5*((($F13-2014)/1)-2)^3,IF($F13&lt;=2018,(4-(($F13-2014)/1))^3/6,0)))))</f>
        <v>0</v>
      </c>
      <c r="AH13" s="16">
        <f>IF($F13&lt;=2015,0,IF($F13&lt;=2016,(($F13-2015)/1)^3/6,IF($F13&lt;=2017,2/3-((($F13-2015)/1)-2)^2-0.5*((($F13-2015)/1)-2)^3,IF($F13&lt;=2018,2/3-((($F13-2015)/1)-2)^2+0.5*((($F13-2015)/1)-2)^3,IF($F13&lt;=2019,(4-(($F13-2015)/1))^3/6,0)))))</f>
        <v>0</v>
      </c>
      <c r="AI13" s="16">
        <f>IF($F13&lt;=2016,0,IF($F13&lt;=2017,(($F13-2016)/1)^3/6,IF($F13&lt;=2018,2/3-((($F13-2016)/1)-2)^2-0.5*((($F13-2016)/1)-2)^3,IF($F13&lt;=2019,2/3-((($F13-2016)/1)-2)^2+0.5*((($F13-2016)/1)-2)^3,IF($F13&lt;=2020,(4-(($F13-2016)/1))^3/6,0)))))</f>
        <v>0</v>
      </c>
      <c r="AJ13" s="16">
        <f>IF($F13&lt;=2017,0,IF($F13&lt;=2018,(($F13-2017)/1)^3/6,IF($F13&lt;=2019,2/3-((($F13-2017)/1)-2)^2-0.5*((($F13-2017)/1)-2)^3,IF($F13&lt;=2020,2/3-((($F13-2017)/1)-2)^2+0.5*((($F13-2017)/1)-2)^3,IF($F13&lt;=2021,(4-(($F13-2017)/1))^3/6,0)))))</f>
        <v>0</v>
      </c>
      <c r="AK13" s="16">
        <f>IF($F13&lt;=2018,0,IF($F13&lt;=2019,(($F13-2018)/1)^3/6,IF($F13&lt;=2020,2/3-((($F13-2018)/1)-2)^2-0.5*((($F13-2018)/1)-2)^3,IF($F13&lt;=2021,2/3-((($F13-2018)/1)-2)^2+0.5*((($F13-2018)/1)-2)^3,IF($F13&lt;=2022,(4-(($F13-2018)/1))^3/6,0)))))</f>
        <v>0</v>
      </c>
    </row>
    <row r="14">
      <c r="A14" s="18" t="n">
        <v>1999</v>
      </c>
      <c r="B14" s="16">
        <f>'Q2(c)_M2'!I24</f>
        <v>-7.1403478829481397</v>
      </c>
      <c r="C14" s="16">
        <f>B14-B13</f>
        <v>-0.10170882199315801</v>
      </c>
      <c r="D14" s="16">
        <f>C14-C13</f>
        <v>-0.084144355745559493</v>
      </c>
      <c r="F14" s="18" t="n">
        <v>2002</v>
      </c>
      <c r="G14" s="16">
        <f>'M_70_t'!B9</f>
        <v>0.00070428750137965703</v>
      </c>
      <c r="H14" s="16">
        <f>SUMPRODUCT(K14:AK14,$K$5:$AK$5)</f>
        <v>-7.2535552855796102</v>
      </c>
      <c r="I14" s="16">
        <f>EXP(H14)</f>
        <v>0.00070765399908639004</v>
      </c>
      <c r="J14" s="15" t="inlineStr">
        <is>
          <t>Fitted</t>
        </is>
      </c>
      <c r="K14" s="16">
        <f>IF($F14&lt;=1992,0,IF($F14&lt;=1993,(($F14-1992)/1)^3/6,IF($F14&lt;=1994,2/3-((($F14-1992)/1)-2)^2-0.5*((($F14-1992)/1)-2)^3,IF($F14&lt;=1995,2/3-((($F14-1992)/1)-2)^2+0.5*((($F14-1992)/1)-2)^3,IF($F14&lt;=1996,(4-(($F14-1992)/1))^3/6,0)))))</f>
        <v>0</v>
      </c>
      <c r="L14" s="16">
        <f>IF($F14&lt;=1993,0,IF($F14&lt;=1994,(($F14-1993)/1)^3/6,IF($F14&lt;=1995,2/3-((($F14-1993)/1)-2)^2-0.5*((($F14-1993)/1)-2)^3,IF($F14&lt;=1996,2/3-((($F14-1993)/1)-2)^2+0.5*((($F14-1993)/1)-2)^3,IF($F14&lt;=1997,(4-(($F14-1993)/1))^3/6,0)))))</f>
        <v>0</v>
      </c>
      <c r="M14" s="16">
        <f>IF($F14&lt;=1994,0,IF($F14&lt;=1995,(($F14-1994)/1)^3/6,IF($F14&lt;=1996,2/3-((($F14-1994)/1)-2)^2-0.5*((($F14-1994)/1)-2)^3,IF($F14&lt;=1997,2/3-((($F14-1994)/1)-2)^2+0.5*((($F14-1994)/1)-2)^3,IF($F14&lt;=1998,(4-(($F14-1994)/1))^3/6,0)))))</f>
        <v>0</v>
      </c>
      <c r="N14" s="16">
        <f>IF($F14&lt;=1995,0,IF($F14&lt;=1996,(($F14-1995)/1)^3/6,IF($F14&lt;=1997,2/3-((($F14-1995)/1)-2)^2-0.5*((($F14-1995)/1)-2)^3,IF($F14&lt;=1998,2/3-((($F14-1995)/1)-2)^2+0.5*((($F14-1995)/1)-2)^3,IF($F14&lt;=1999,(4-(($F14-1995)/1))^3/6,0)))))</f>
        <v>0</v>
      </c>
      <c r="O14" s="16">
        <f>IF($F14&lt;=1996,0,IF($F14&lt;=1997,(($F14-1996)/1)^3/6,IF($F14&lt;=1998,2/3-((($F14-1996)/1)-2)^2-0.5*((($F14-1996)/1)-2)^3,IF($F14&lt;=1999,2/3-((($F14-1996)/1)-2)^2+0.5*((($F14-1996)/1)-2)^3,IF($F14&lt;=2000,(4-(($F14-1996)/1))^3/6,0)))))</f>
        <v>0</v>
      </c>
      <c r="P14" s="16">
        <f>IF($F14&lt;=1997,0,IF($F14&lt;=1998,(($F14-1997)/1)^3/6,IF($F14&lt;=1999,2/3-((($F14-1997)/1)-2)^2-0.5*((($F14-1997)/1)-2)^3,IF($F14&lt;=2000,2/3-((($F14-1997)/1)-2)^2+0.5*((($F14-1997)/1)-2)^3,IF($F14&lt;=2001,(4-(($F14-1997)/1))^3/6,0)))))</f>
        <v>0</v>
      </c>
      <c r="Q14" s="16">
        <f>IF($F14&lt;=1998,0,IF($F14&lt;=1999,(($F14-1998)/1)^3/6,IF($F14&lt;=2000,2/3-((($F14-1998)/1)-2)^2-0.5*((($F14-1998)/1)-2)^3,IF($F14&lt;=2001,2/3-((($F14-1998)/1)-2)^2+0.5*((($F14-1998)/1)-2)^3,IF($F14&lt;=2002,(4-(($F14-1998)/1))^3/6,0)))))</f>
        <v>0</v>
      </c>
      <c r="R14" s="16">
        <f>IF($F14&lt;=1999,0,IF($F14&lt;=2000,(($F14-1999)/1)^3/6,IF($F14&lt;=2001,2/3-((($F14-1999)/1)-2)^2-0.5*((($F14-1999)/1)-2)^3,IF($F14&lt;=2002,2/3-((($F14-1999)/1)-2)^2+0.5*((($F14-1999)/1)-2)^3,IF($F14&lt;=2003,(4-(($F14-1999)/1))^3/6,0)))))</f>
        <v>0.16666666666666699</v>
      </c>
      <c r="S14" s="16">
        <f>IF($F14&lt;=2000,0,IF($F14&lt;=2001,(($F14-2000)/1)^3/6,IF($F14&lt;=2002,2/3-((($F14-2000)/1)-2)^2-0.5*((($F14-2000)/1)-2)^3,IF($F14&lt;=2003,2/3-((($F14-2000)/1)-2)^2+0.5*((($F14-2000)/1)-2)^3,IF($F14&lt;=2004,(4-(($F14-2000)/1))^3/6,0)))))</f>
        <v>0.66666666666666696</v>
      </c>
      <c r="T14" s="16">
        <f>IF($F14&lt;=2001,0,IF($F14&lt;=2002,(($F14-2001)/1)^3/6,IF($F14&lt;=2003,2/3-((($F14-2001)/1)-2)^2-0.5*((($F14-2001)/1)-2)^3,IF($F14&lt;=2004,2/3-((($F14-2001)/1)-2)^2+0.5*((($F14-2001)/1)-2)^3,IF($F14&lt;=2005,(4-(($F14-2001)/1))^3/6,0)))))</f>
        <v>0.16666666666666699</v>
      </c>
      <c r="U14" s="16">
        <f>IF($F14&lt;=2002,0,IF($F14&lt;=2003,(($F14-2002)/1)^3/6,IF($F14&lt;=2004,2/3-((($F14-2002)/1)-2)^2-0.5*((($F14-2002)/1)-2)^3,IF($F14&lt;=2005,2/3-((($F14-2002)/1)-2)^2+0.5*((($F14-2002)/1)-2)^3,IF($F14&lt;=2006,(4-(($F14-2002)/1))^3/6,0)))))</f>
        <v>0</v>
      </c>
      <c r="V14" s="16">
        <f>IF($F14&lt;=2003,0,IF($F14&lt;=2004,(($F14-2003)/1)^3/6,IF($F14&lt;=2005,2/3-((($F14-2003)/1)-2)^2-0.5*((($F14-2003)/1)-2)^3,IF($F14&lt;=2006,2/3-((($F14-2003)/1)-2)^2+0.5*((($F14-2003)/1)-2)^3,IF($F14&lt;=2007,(4-(($F14-2003)/1))^3/6,0)))))</f>
        <v>0</v>
      </c>
      <c r="W14" s="16">
        <f>IF($F14&lt;=2004,0,IF($F14&lt;=2005,(($F14-2004)/1)^3/6,IF($F14&lt;=2006,2/3-((($F14-2004)/1)-2)^2-0.5*((($F14-2004)/1)-2)^3,IF($F14&lt;=2007,2/3-((($F14-2004)/1)-2)^2+0.5*((($F14-2004)/1)-2)^3,IF($F14&lt;=2008,(4-(($F14-2004)/1))^3/6,0)))))</f>
        <v>0</v>
      </c>
      <c r="X14" s="16">
        <f>IF($F14&lt;=2005,0,IF($F14&lt;=2006,(($F14-2005)/1)^3/6,IF($F14&lt;=2007,2/3-((($F14-2005)/1)-2)^2-0.5*((($F14-2005)/1)-2)^3,IF($F14&lt;=2008,2/3-((($F14-2005)/1)-2)^2+0.5*((($F14-2005)/1)-2)^3,IF($F14&lt;=2009,(4-(($F14-2005)/1))^3/6,0)))))</f>
        <v>0</v>
      </c>
      <c r="Y14" s="16">
        <f>IF($F14&lt;=2006,0,IF($F14&lt;=2007,(($F14-2006)/1)^3/6,IF($F14&lt;=2008,2/3-((($F14-2006)/1)-2)^2-0.5*((($F14-2006)/1)-2)^3,IF($F14&lt;=2009,2/3-((($F14-2006)/1)-2)^2+0.5*((($F14-2006)/1)-2)^3,IF($F14&lt;=2010,(4-(($F14-2006)/1))^3/6,0)))))</f>
        <v>0</v>
      </c>
      <c r="Z14" s="16">
        <f>IF($F14&lt;=2007,0,IF($F14&lt;=2008,(($F14-2007)/1)^3/6,IF($F14&lt;=2009,2/3-((($F14-2007)/1)-2)^2-0.5*((($F14-2007)/1)-2)^3,IF($F14&lt;=2010,2/3-((($F14-2007)/1)-2)^2+0.5*((($F14-2007)/1)-2)^3,IF($F14&lt;=2011,(4-(($F14-2007)/1))^3/6,0)))))</f>
        <v>0</v>
      </c>
      <c r="AA14" s="16">
        <f>IF($F14&lt;=2008,0,IF($F14&lt;=2009,(($F14-2008)/1)^3/6,IF($F14&lt;=2010,2/3-((($F14-2008)/1)-2)^2-0.5*((($F14-2008)/1)-2)^3,IF($F14&lt;=2011,2/3-((($F14-2008)/1)-2)^2+0.5*((($F14-2008)/1)-2)^3,IF($F14&lt;=2012,(4-(($F14-2008)/1))^3/6,0)))))</f>
        <v>0</v>
      </c>
      <c r="AB14" s="16">
        <f>IF($F14&lt;=2009,0,IF($F14&lt;=2010,(($F14-2009)/1)^3/6,IF($F14&lt;=2011,2/3-((($F14-2009)/1)-2)^2-0.5*((($F14-2009)/1)-2)^3,IF($F14&lt;=2012,2/3-((($F14-2009)/1)-2)^2+0.5*((($F14-2009)/1)-2)^3,IF($F14&lt;=2013,(4-(($F14-2009)/1))^3/6,0)))))</f>
        <v>0</v>
      </c>
      <c r="AC14" s="16">
        <f>IF($F14&lt;=2010,0,IF($F14&lt;=2011,(($F14-2010)/1)^3/6,IF($F14&lt;=2012,2/3-((($F14-2010)/1)-2)^2-0.5*((($F14-2010)/1)-2)^3,IF($F14&lt;=2013,2/3-((($F14-2010)/1)-2)^2+0.5*((($F14-2010)/1)-2)^3,IF($F14&lt;=2014,(4-(($F14-2010)/1))^3/6,0)))))</f>
        <v>0</v>
      </c>
      <c r="AD14" s="16">
        <f>IF($F14&lt;=2011,0,IF($F14&lt;=2012,(($F14-2011)/1)^3/6,IF($F14&lt;=2013,2/3-((($F14-2011)/1)-2)^2-0.5*((($F14-2011)/1)-2)^3,IF($F14&lt;=2014,2/3-((($F14-2011)/1)-2)^2+0.5*((($F14-2011)/1)-2)^3,IF($F14&lt;=2015,(4-(($F14-2011)/1))^3/6,0)))))</f>
        <v>0</v>
      </c>
      <c r="AE14" s="16">
        <f>IF($F14&lt;=2012,0,IF($F14&lt;=2013,(($F14-2012)/1)^3/6,IF($F14&lt;=2014,2/3-((($F14-2012)/1)-2)^2-0.5*((($F14-2012)/1)-2)^3,IF($F14&lt;=2015,2/3-((($F14-2012)/1)-2)^2+0.5*((($F14-2012)/1)-2)^3,IF($F14&lt;=2016,(4-(($F14-2012)/1))^3/6,0)))))</f>
        <v>0</v>
      </c>
      <c r="AF14" s="16">
        <f>IF($F14&lt;=2013,0,IF($F14&lt;=2014,(($F14-2013)/1)^3/6,IF($F14&lt;=2015,2/3-((($F14-2013)/1)-2)^2-0.5*((($F14-2013)/1)-2)^3,IF($F14&lt;=2016,2/3-((($F14-2013)/1)-2)^2+0.5*((($F14-2013)/1)-2)^3,IF($F14&lt;=2017,(4-(($F14-2013)/1))^3/6,0)))))</f>
        <v>0</v>
      </c>
      <c r="AG14" s="16">
        <f>IF($F14&lt;=2014,0,IF($F14&lt;=2015,(($F14-2014)/1)^3/6,IF($F14&lt;=2016,2/3-((($F14-2014)/1)-2)^2-0.5*((($F14-2014)/1)-2)^3,IF($F14&lt;=2017,2/3-((($F14-2014)/1)-2)^2+0.5*((($F14-2014)/1)-2)^3,IF($F14&lt;=2018,(4-(($F14-2014)/1))^3/6,0)))))</f>
        <v>0</v>
      </c>
      <c r="AH14" s="16">
        <f>IF($F14&lt;=2015,0,IF($F14&lt;=2016,(($F14-2015)/1)^3/6,IF($F14&lt;=2017,2/3-((($F14-2015)/1)-2)^2-0.5*((($F14-2015)/1)-2)^3,IF($F14&lt;=2018,2/3-((($F14-2015)/1)-2)^2+0.5*((($F14-2015)/1)-2)^3,IF($F14&lt;=2019,(4-(($F14-2015)/1))^3/6,0)))))</f>
        <v>0</v>
      </c>
      <c r="AI14" s="16">
        <f>IF($F14&lt;=2016,0,IF($F14&lt;=2017,(($F14-2016)/1)^3/6,IF($F14&lt;=2018,2/3-((($F14-2016)/1)-2)^2-0.5*((($F14-2016)/1)-2)^3,IF($F14&lt;=2019,2/3-((($F14-2016)/1)-2)^2+0.5*((($F14-2016)/1)-2)^3,IF($F14&lt;=2020,(4-(($F14-2016)/1))^3/6,0)))))</f>
        <v>0</v>
      </c>
      <c r="AJ14" s="16">
        <f>IF($F14&lt;=2017,0,IF($F14&lt;=2018,(($F14-2017)/1)^3/6,IF($F14&lt;=2019,2/3-((($F14-2017)/1)-2)^2-0.5*((($F14-2017)/1)-2)^3,IF($F14&lt;=2020,2/3-((($F14-2017)/1)-2)^2+0.5*((($F14-2017)/1)-2)^3,IF($F14&lt;=2021,(4-(($F14-2017)/1))^3/6,0)))))</f>
        <v>0</v>
      </c>
      <c r="AK14" s="16">
        <f>IF($F14&lt;=2018,0,IF($F14&lt;=2019,(($F14-2018)/1)^3/6,IF($F14&lt;=2020,2/3-((($F14-2018)/1)-2)^2-0.5*((($F14-2018)/1)-2)^3,IF($F14&lt;=2021,2/3-((($F14-2018)/1)-2)^2+0.5*((($F14-2018)/1)-2)^3,IF($F14&lt;=2022,(4-(($F14-2018)/1))^3/6,0)))))</f>
        <v>0</v>
      </c>
    </row>
    <row r="15">
      <c r="A15" s="18" t="n">
        <v>2000</v>
      </c>
      <c r="B15" s="16">
        <f>'Q2(c)_M2'!J24</f>
        <v>-7.2584224620258402</v>
      </c>
      <c r="C15" s="16">
        <f>B15-B14</f>
        <v>-0.118074579077697</v>
      </c>
      <c r="D15" s="16">
        <f>C15-C14</f>
        <v>-0.0163657570845386</v>
      </c>
      <c r="F15" s="18" t="n">
        <v>2003</v>
      </c>
      <c r="G15" s="16">
        <f>'M_70_t'!B10</f>
        <v>0.00062560881810524603</v>
      </c>
      <c r="H15" s="16">
        <f>SUMPRODUCT(K15:AK15,$K$5:$AK$5)</f>
        <v>-7.3407207650242299</v>
      </c>
      <c r="I15" s="16">
        <f>EXP(H15)</f>
        <v>0.00064858287658078298</v>
      </c>
      <c r="J15" s="15" t="inlineStr">
        <is>
          <t>Fitted</t>
        </is>
      </c>
      <c r="K15" s="16">
        <f>IF($F15&lt;=1992,0,IF($F15&lt;=1993,(($F15-1992)/1)^3/6,IF($F15&lt;=1994,2/3-((($F15-1992)/1)-2)^2-0.5*((($F15-1992)/1)-2)^3,IF($F15&lt;=1995,2/3-((($F15-1992)/1)-2)^2+0.5*((($F15-1992)/1)-2)^3,IF($F15&lt;=1996,(4-(($F15-1992)/1))^3/6,0)))))</f>
        <v>0</v>
      </c>
      <c r="L15" s="16">
        <f>IF($F15&lt;=1993,0,IF($F15&lt;=1994,(($F15-1993)/1)^3/6,IF($F15&lt;=1995,2/3-((($F15-1993)/1)-2)^2-0.5*((($F15-1993)/1)-2)^3,IF($F15&lt;=1996,2/3-((($F15-1993)/1)-2)^2+0.5*((($F15-1993)/1)-2)^3,IF($F15&lt;=1997,(4-(($F15-1993)/1))^3/6,0)))))</f>
        <v>0</v>
      </c>
      <c r="M15" s="16">
        <f>IF($F15&lt;=1994,0,IF($F15&lt;=1995,(($F15-1994)/1)^3/6,IF($F15&lt;=1996,2/3-((($F15-1994)/1)-2)^2-0.5*((($F15-1994)/1)-2)^3,IF($F15&lt;=1997,2/3-((($F15-1994)/1)-2)^2+0.5*((($F15-1994)/1)-2)^3,IF($F15&lt;=1998,(4-(($F15-1994)/1))^3/6,0)))))</f>
        <v>0</v>
      </c>
      <c r="N15" s="16">
        <f>IF($F15&lt;=1995,0,IF($F15&lt;=1996,(($F15-1995)/1)^3/6,IF($F15&lt;=1997,2/3-((($F15-1995)/1)-2)^2-0.5*((($F15-1995)/1)-2)^3,IF($F15&lt;=1998,2/3-((($F15-1995)/1)-2)^2+0.5*((($F15-1995)/1)-2)^3,IF($F15&lt;=1999,(4-(($F15-1995)/1))^3/6,0)))))</f>
        <v>0</v>
      </c>
      <c r="O15" s="16">
        <f>IF($F15&lt;=1996,0,IF($F15&lt;=1997,(($F15-1996)/1)^3/6,IF($F15&lt;=1998,2/3-((($F15-1996)/1)-2)^2-0.5*((($F15-1996)/1)-2)^3,IF($F15&lt;=1999,2/3-((($F15-1996)/1)-2)^2+0.5*((($F15-1996)/1)-2)^3,IF($F15&lt;=2000,(4-(($F15-1996)/1))^3/6,0)))))</f>
        <v>0</v>
      </c>
      <c r="P15" s="16">
        <f>IF($F15&lt;=1997,0,IF($F15&lt;=1998,(($F15-1997)/1)^3/6,IF($F15&lt;=1999,2/3-((($F15-1997)/1)-2)^2-0.5*((($F15-1997)/1)-2)^3,IF($F15&lt;=2000,2/3-((($F15-1997)/1)-2)^2+0.5*((($F15-1997)/1)-2)^3,IF($F15&lt;=2001,(4-(($F15-1997)/1))^3/6,0)))))</f>
        <v>0</v>
      </c>
      <c r="Q15" s="16">
        <f>IF($F15&lt;=1998,0,IF($F15&lt;=1999,(($F15-1998)/1)^3/6,IF($F15&lt;=2000,2/3-((($F15-1998)/1)-2)^2-0.5*((($F15-1998)/1)-2)^3,IF($F15&lt;=2001,2/3-((($F15-1998)/1)-2)^2+0.5*((($F15-1998)/1)-2)^3,IF($F15&lt;=2002,(4-(($F15-1998)/1))^3/6,0)))))</f>
        <v>0</v>
      </c>
      <c r="R15" s="16">
        <f>IF($F15&lt;=1999,0,IF($F15&lt;=2000,(($F15-1999)/1)^3/6,IF($F15&lt;=2001,2/3-((($F15-1999)/1)-2)^2-0.5*((($F15-1999)/1)-2)^3,IF($F15&lt;=2002,2/3-((($F15-1999)/1)-2)^2+0.5*((($F15-1999)/1)-2)^3,IF($F15&lt;=2003,(4-(($F15-1999)/1))^3/6,0)))))</f>
        <v>0</v>
      </c>
      <c r="S15" s="16">
        <f>IF($F15&lt;=2000,0,IF($F15&lt;=2001,(($F15-2000)/1)^3/6,IF($F15&lt;=2002,2/3-((($F15-2000)/1)-2)^2-0.5*((($F15-2000)/1)-2)^3,IF($F15&lt;=2003,2/3-((($F15-2000)/1)-2)^2+0.5*((($F15-2000)/1)-2)^3,IF($F15&lt;=2004,(4-(($F15-2000)/1))^3/6,0)))))</f>
        <v>0.16666666666666699</v>
      </c>
      <c r="T15" s="16">
        <f>IF($F15&lt;=2001,0,IF($F15&lt;=2002,(($F15-2001)/1)^3/6,IF($F15&lt;=2003,2/3-((($F15-2001)/1)-2)^2-0.5*((($F15-2001)/1)-2)^3,IF($F15&lt;=2004,2/3-((($F15-2001)/1)-2)^2+0.5*((($F15-2001)/1)-2)^3,IF($F15&lt;=2005,(4-(($F15-2001)/1))^3/6,0)))))</f>
        <v>0.66666666666666696</v>
      </c>
      <c r="U15" s="16">
        <f>IF($F15&lt;=2002,0,IF($F15&lt;=2003,(($F15-2002)/1)^3/6,IF($F15&lt;=2004,2/3-((($F15-2002)/1)-2)^2-0.5*((($F15-2002)/1)-2)^3,IF($F15&lt;=2005,2/3-((($F15-2002)/1)-2)^2+0.5*((($F15-2002)/1)-2)^3,IF($F15&lt;=2006,(4-(($F15-2002)/1))^3/6,0)))))</f>
        <v>0.16666666666666699</v>
      </c>
      <c r="V15" s="16">
        <f>IF($F15&lt;=2003,0,IF($F15&lt;=2004,(($F15-2003)/1)^3/6,IF($F15&lt;=2005,2/3-((($F15-2003)/1)-2)^2-0.5*((($F15-2003)/1)-2)^3,IF($F15&lt;=2006,2/3-((($F15-2003)/1)-2)^2+0.5*((($F15-2003)/1)-2)^3,IF($F15&lt;=2007,(4-(($F15-2003)/1))^3/6,0)))))</f>
        <v>0</v>
      </c>
      <c r="W15" s="16">
        <f>IF($F15&lt;=2004,0,IF($F15&lt;=2005,(($F15-2004)/1)^3/6,IF($F15&lt;=2006,2/3-((($F15-2004)/1)-2)^2-0.5*((($F15-2004)/1)-2)^3,IF($F15&lt;=2007,2/3-((($F15-2004)/1)-2)^2+0.5*((($F15-2004)/1)-2)^3,IF($F15&lt;=2008,(4-(($F15-2004)/1))^3/6,0)))))</f>
        <v>0</v>
      </c>
      <c r="X15" s="16">
        <f>IF($F15&lt;=2005,0,IF($F15&lt;=2006,(($F15-2005)/1)^3/6,IF($F15&lt;=2007,2/3-((($F15-2005)/1)-2)^2-0.5*((($F15-2005)/1)-2)^3,IF($F15&lt;=2008,2/3-((($F15-2005)/1)-2)^2+0.5*((($F15-2005)/1)-2)^3,IF($F15&lt;=2009,(4-(($F15-2005)/1))^3/6,0)))))</f>
        <v>0</v>
      </c>
      <c r="Y15" s="16">
        <f>IF($F15&lt;=2006,0,IF($F15&lt;=2007,(($F15-2006)/1)^3/6,IF($F15&lt;=2008,2/3-((($F15-2006)/1)-2)^2-0.5*((($F15-2006)/1)-2)^3,IF($F15&lt;=2009,2/3-((($F15-2006)/1)-2)^2+0.5*((($F15-2006)/1)-2)^3,IF($F15&lt;=2010,(4-(($F15-2006)/1))^3/6,0)))))</f>
        <v>0</v>
      </c>
      <c r="Z15" s="16">
        <f>IF($F15&lt;=2007,0,IF($F15&lt;=2008,(($F15-2007)/1)^3/6,IF($F15&lt;=2009,2/3-((($F15-2007)/1)-2)^2-0.5*((($F15-2007)/1)-2)^3,IF($F15&lt;=2010,2/3-((($F15-2007)/1)-2)^2+0.5*((($F15-2007)/1)-2)^3,IF($F15&lt;=2011,(4-(($F15-2007)/1))^3/6,0)))))</f>
        <v>0</v>
      </c>
      <c r="AA15" s="16">
        <f>IF($F15&lt;=2008,0,IF($F15&lt;=2009,(($F15-2008)/1)^3/6,IF($F15&lt;=2010,2/3-((($F15-2008)/1)-2)^2-0.5*((($F15-2008)/1)-2)^3,IF($F15&lt;=2011,2/3-((($F15-2008)/1)-2)^2+0.5*((($F15-2008)/1)-2)^3,IF($F15&lt;=2012,(4-(($F15-2008)/1))^3/6,0)))))</f>
        <v>0</v>
      </c>
      <c r="AB15" s="16">
        <f>IF($F15&lt;=2009,0,IF($F15&lt;=2010,(($F15-2009)/1)^3/6,IF($F15&lt;=2011,2/3-((($F15-2009)/1)-2)^2-0.5*((($F15-2009)/1)-2)^3,IF($F15&lt;=2012,2/3-((($F15-2009)/1)-2)^2+0.5*((($F15-2009)/1)-2)^3,IF($F15&lt;=2013,(4-(($F15-2009)/1))^3/6,0)))))</f>
        <v>0</v>
      </c>
      <c r="AC15" s="16">
        <f>IF($F15&lt;=2010,0,IF($F15&lt;=2011,(($F15-2010)/1)^3/6,IF($F15&lt;=2012,2/3-((($F15-2010)/1)-2)^2-0.5*((($F15-2010)/1)-2)^3,IF($F15&lt;=2013,2/3-((($F15-2010)/1)-2)^2+0.5*((($F15-2010)/1)-2)^3,IF($F15&lt;=2014,(4-(($F15-2010)/1))^3/6,0)))))</f>
        <v>0</v>
      </c>
      <c r="AD15" s="16">
        <f>IF($F15&lt;=2011,0,IF($F15&lt;=2012,(($F15-2011)/1)^3/6,IF($F15&lt;=2013,2/3-((($F15-2011)/1)-2)^2-0.5*((($F15-2011)/1)-2)^3,IF($F15&lt;=2014,2/3-((($F15-2011)/1)-2)^2+0.5*((($F15-2011)/1)-2)^3,IF($F15&lt;=2015,(4-(($F15-2011)/1))^3/6,0)))))</f>
        <v>0</v>
      </c>
      <c r="AE15" s="16">
        <f>IF($F15&lt;=2012,0,IF($F15&lt;=2013,(($F15-2012)/1)^3/6,IF($F15&lt;=2014,2/3-((($F15-2012)/1)-2)^2-0.5*((($F15-2012)/1)-2)^3,IF($F15&lt;=2015,2/3-((($F15-2012)/1)-2)^2+0.5*((($F15-2012)/1)-2)^3,IF($F15&lt;=2016,(4-(($F15-2012)/1))^3/6,0)))))</f>
        <v>0</v>
      </c>
      <c r="AF15" s="16">
        <f>IF($F15&lt;=2013,0,IF($F15&lt;=2014,(($F15-2013)/1)^3/6,IF($F15&lt;=2015,2/3-((($F15-2013)/1)-2)^2-0.5*((($F15-2013)/1)-2)^3,IF($F15&lt;=2016,2/3-((($F15-2013)/1)-2)^2+0.5*((($F15-2013)/1)-2)^3,IF($F15&lt;=2017,(4-(($F15-2013)/1))^3/6,0)))))</f>
        <v>0</v>
      </c>
      <c r="AG15" s="16">
        <f>IF($F15&lt;=2014,0,IF($F15&lt;=2015,(($F15-2014)/1)^3/6,IF($F15&lt;=2016,2/3-((($F15-2014)/1)-2)^2-0.5*((($F15-2014)/1)-2)^3,IF($F15&lt;=2017,2/3-((($F15-2014)/1)-2)^2+0.5*((($F15-2014)/1)-2)^3,IF($F15&lt;=2018,(4-(($F15-2014)/1))^3/6,0)))))</f>
        <v>0</v>
      </c>
      <c r="AH15" s="16">
        <f>IF($F15&lt;=2015,0,IF($F15&lt;=2016,(($F15-2015)/1)^3/6,IF($F15&lt;=2017,2/3-((($F15-2015)/1)-2)^2-0.5*((($F15-2015)/1)-2)^3,IF($F15&lt;=2018,2/3-((($F15-2015)/1)-2)^2+0.5*((($F15-2015)/1)-2)^3,IF($F15&lt;=2019,(4-(($F15-2015)/1))^3/6,0)))))</f>
        <v>0</v>
      </c>
      <c r="AI15" s="16">
        <f>IF($F15&lt;=2016,0,IF($F15&lt;=2017,(($F15-2016)/1)^3/6,IF($F15&lt;=2018,2/3-((($F15-2016)/1)-2)^2-0.5*((($F15-2016)/1)-2)^3,IF($F15&lt;=2019,2/3-((($F15-2016)/1)-2)^2+0.5*((($F15-2016)/1)-2)^3,IF($F15&lt;=2020,(4-(($F15-2016)/1))^3/6,0)))))</f>
        <v>0</v>
      </c>
      <c r="AJ15" s="16">
        <f>IF($F15&lt;=2017,0,IF($F15&lt;=2018,(($F15-2017)/1)^3/6,IF($F15&lt;=2019,2/3-((($F15-2017)/1)-2)^2-0.5*((($F15-2017)/1)-2)^3,IF($F15&lt;=2020,2/3-((($F15-2017)/1)-2)^2+0.5*((($F15-2017)/1)-2)^3,IF($F15&lt;=2021,(4-(($F15-2017)/1))^3/6,0)))))</f>
        <v>0</v>
      </c>
      <c r="AK15" s="16">
        <f>IF($F15&lt;=2018,0,IF($F15&lt;=2019,(($F15-2018)/1)^3/6,IF($F15&lt;=2020,2/3-((($F15-2018)/1)-2)^2-0.5*((($F15-2018)/1)-2)^3,IF($F15&lt;=2021,2/3-((($F15-2018)/1)-2)^2+0.5*((($F15-2018)/1)-2)^3,IF($F15&lt;=2022,(4-(($F15-2018)/1))^3/6,0)))))</f>
        <v>0</v>
      </c>
    </row>
    <row r="16">
      <c r="A16" s="18" t="n">
        <v>2001</v>
      </c>
      <c r="B16" s="16">
        <f>'Q2(c)_M2'!K24</f>
        <v>-7.3472939824261401</v>
      </c>
      <c r="C16" s="16">
        <f>B16-B15</f>
        <v>-0.0888715204002999</v>
      </c>
      <c r="D16" s="16">
        <f>C16-C15</f>
        <v>0.029203058677397</v>
      </c>
      <c r="F16" s="18" t="n">
        <v>2004</v>
      </c>
      <c r="G16" s="16">
        <f>'M_70_t'!B11</f>
        <v>0.00063014139456242795</v>
      </c>
      <c r="H16" s="16">
        <f>SUMPRODUCT(K16:AK16,$K$5:$AK$5)</f>
        <v>-7.3952967315482496</v>
      </c>
      <c r="I16" s="16">
        <f>EXP(H16)</f>
        <v>0.000614134418248517</v>
      </c>
      <c r="J16" s="15" t="inlineStr">
        <is>
          <t>Fitted</t>
        </is>
      </c>
      <c r="K16" s="16">
        <f>IF($F16&lt;=1992,0,IF($F16&lt;=1993,(($F16-1992)/1)^3/6,IF($F16&lt;=1994,2/3-((($F16-1992)/1)-2)^2-0.5*((($F16-1992)/1)-2)^3,IF($F16&lt;=1995,2/3-((($F16-1992)/1)-2)^2+0.5*((($F16-1992)/1)-2)^3,IF($F16&lt;=1996,(4-(($F16-1992)/1))^3/6,0)))))</f>
        <v>0</v>
      </c>
      <c r="L16" s="16">
        <f>IF($F16&lt;=1993,0,IF($F16&lt;=1994,(($F16-1993)/1)^3/6,IF($F16&lt;=1995,2/3-((($F16-1993)/1)-2)^2-0.5*((($F16-1993)/1)-2)^3,IF($F16&lt;=1996,2/3-((($F16-1993)/1)-2)^2+0.5*((($F16-1993)/1)-2)^3,IF($F16&lt;=1997,(4-(($F16-1993)/1))^3/6,0)))))</f>
        <v>0</v>
      </c>
      <c r="M16" s="16">
        <f>IF($F16&lt;=1994,0,IF($F16&lt;=1995,(($F16-1994)/1)^3/6,IF($F16&lt;=1996,2/3-((($F16-1994)/1)-2)^2-0.5*((($F16-1994)/1)-2)^3,IF($F16&lt;=1997,2/3-((($F16-1994)/1)-2)^2+0.5*((($F16-1994)/1)-2)^3,IF($F16&lt;=1998,(4-(($F16-1994)/1))^3/6,0)))))</f>
        <v>0</v>
      </c>
      <c r="N16" s="16">
        <f>IF($F16&lt;=1995,0,IF($F16&lt;=1996,(($F16-1995)/1)^3/6,IF($F16&lt;=1997,2/3-((($F16-1995)/1)-2)^2-0.5*((($F16-1995)/1)-2)^3,IF($F16&lt;=1998,2/3-((($F16-1995)/1)-2)^2+0.5*((($F16-1995)/1)-2)^3,IF($F16&lt;=1999,(4-(($F16-1995)/1))^3/6,0)))))</f>
        <v>0</v>
      </c>
      <c r="O16" s="16">
        <f>IF($F16&lt;=1996,0,IF($F16&lt;=1997,(($F16-1996)/1)^3/6,IF($F16&lt;=1998,2/3-((($F16-1996)/1)-2)^2-0.5*((($F16-1996)/1)-2)^3,IF($F16&lt;=1999,2/3-((($F16-1996)/1)-2)^2+0.5*((($F16-1996)/1)-2)^3,IF($F16&lt;=2000,(4-(($F16-1996)/1))^3/6,0)))))</f>
        <v>0</v>
      </c>
      <c r="P16" s="16">
        <f>IF($F16&lt;=1997,0,IF($F16&lt;=1998,(($F16-1997)/1)^3/6,IF($F16&lt;=1999,2/3-((($F16-1997)/1)-2)^2-0.5*((($F16-1997)/1)-2)^3,IF($F16&lt;=2000,2/3-((($F16-1997)/1)-2)^2+0.5*((($F16-1997)/1)-2)^3,IF($F16&lt;=2001,(4-(($F16-1997)/1))^3/6,0)))))</f>
        <v>0</v>
      </c>
      <c r="Q16" s="16">
        <f>IF($F16&lt;=1998,0,IF($F16&lt;=1999,(($F16-1998)/1)^3/6,IF($F16&lt;=2000,2/3-((($F16-1998)/1)-2)^2-0.5*((($F16-1998)/1)-2)^3,IF($F16&lt;=2001,2/3-((($F16-1998)/1)-2)^2+0.5*((($F16-1998)/1)-2)^3,IF($F16&lt;=2002,(4-(($F16-1998)/1))^3/6,0)))))</f>
        <v>0</v>
      </c>
      <c r="R16" s="16">
        <f>IF($F16&lt;=1999,0,IF($F16&lt;=2000,(($F16-1999)/1)^3/6,IF($F16&lt;=2001,2/3-((($F16-1999)/1)-2)^2-0.5*((($F16-1999)/1)-2)^3,IF($F16&lt;=2002,2/3-((($F16-1999)/1)-2)^2+0.5*((($F16-1999)/1)-2)^3,IF($F16&lt;=2003,(4-(($F16-1999)/1))^3/6,0)))))</f>
        <v>0</v>
      </c>
      <c r="S16" s="16">
        <f>IF($F16&lt;=2000,0,IF($F16&lt;=2001,(($F16-2000)/1)^3/6,IF($F16&lt;=2002,2/3-((($F16-2000)/1)-2)^2-0.5*((($F16-2000)/1)-2)^3,IF($F16&lt;=2003,2/3-((($F16-2000)/1)-2)^2+0.5*((($F16-2000)/1)-2)^3,IF($F16&lt;=2004,(4-(($F16-2000)/1))^3/6,0)))))</f>
        <v>0</v>
      </c>
      <c r="T16" s="16">
        <f>IF($F16&lt;=2001,0,IF($F16&lt;=2002,(($F16-2001)/1)^3/6,IF($F16&lt;=2003,2/3-((($F16-2001)/1)-2)^2-0.5*((($F16-2001)/1)-2)^3,IF($F16&lt;=2004,2/3-((($F16-2001)/1)-2)^2+0.5*((($F16-2001)/1)-2)^3,IF($F16&lt;=2005,(4-(($F16-2001)/1))^3/6,0)))))</f>
        <v>0.16666666666666699</v>
      </c>
      <c r="U16" s="16">
        <f>IF($F16&lt;=2002,0,IF($F16&lt;=2003,(($F16-2002)/1)^3/6,IF($F16&lt;=2004,2/3-((($F16-2002)/1)-2)^2-0.5*((($F16-2002)/1)-2)^3,IF($F16&lt;=2005,2/3-((($F16-2002)/1)-2)^2+0.5*((($F16-2002)/1)-2)^3,IF($F16&lt;=2006,(4-(($F16-2002)/1))^3/6,0)))))</f>
        <v>0.66666666666666696</v>
      </c>
      <c r="V16" s="16">
        <f>IF($F16&lt;=2003,0,IF($F16&lt;=2004,(($F16-2003)/1)^3/6,IF($F16&lt;=2005,2/3-((($F16-2003)/1)-2)^2-0.5*((($F16-2003)/1)-2)^3,IF($F16&lt;=2006,2/3-((($F16-2003)/1)-2)^2+0.5*((($F16-2003)/1)-2)^3,IF($F16&lt;=2007,(4-(($F16-2003)/1))^3/6,0)))))</f>
        <v>0.16666666666666699</v>
      </c>
      <c r="W16" s="16">
        <f>IF($F16&lt;=2004,0,IF($F16&lt;=2005,(($F16-2004)/1)^3/6,IF($F16&lt;=2006,2/3-((($F16-2004)/1)-2)^2-0.5*((($F16-2004)/1)-2)^3,IF($F16&lt;=2007,2/3-((($F16-2004)/1)-2)^2+0.5*((($F16-2004)/1)-2)^3,IF($F16&lt;=2008,(4-(($F16-2004)/1))^3/6,0)))))</f>
        <v>0</v>
      </c>
      <c r="X16" s="16">
        <f>IF($F16&lt;=2005,0,IF($F16&lt;=2006,(($F16-2005)/1)^3/6,IF($F16&lt;=2007,2/3-((($F16-2005)/1)-2)^2-0.5*((($F16-2005)/1)-2)^3,IF($F16&lt;=2008,2/3-((($F16-2005)/1)-2)^2+0.5*((($F16-2005)/1)-2)^3,IF($F16&lt;=2009,(4-(($F16-2005)/1))^3/6,0)))))</f>
        <v>0</v>
      </c>
      <c r="Y16" s="16">
        <f>IF($F16&lt;=2006,0,IF($F16&lt;=2007,(($F16-2006)/1)^3/6,IF($F16&lt;=2008,2/3-((($F16-2006)/1)-2)^2-0.5*((($F16-2006)/1)-2)^3,IF($F16&lt;=2009,2/3-((($F16-2006)/1)-2)^2+0.5*((($F16-2006)/1)-2)^3,IF($F16&lt;=2010,(4-(($F16-2006)/1))^3/6,0)))))</f>
        <v>0</v>
      </c>
      <c r="Z16" s="16">
        <f>IF($F16&lt;=2007,0,IF($F16&lt;=2008,(($F16-2007)/1)^3/6,IF($F16&lt;=2009,2/3-((($F16-2007)/1)-2)^2-0.5*((($F16-2007)/1)-2)^3,IF($F16&lt;=2010,2/3-((($F16-2007)/1)-2)^2+0.5*((($F16-2007)/1)-2)^3,IF($F16&lt;=2011,(4-(($F16-2007)/1))^3/6,0)))))</f>
        <v>0</v>
      </c>
      <c r="AA16" s="16">
        <f>IF($F16&lt;=2008,0,IF($F16&lt;=2009,(($F16-2008)/1)^3/6,IF($F16&lt;=2010,2/3-((($F16-2008)/1)-2)^2-0.5*((($F16-2008)/1)-2)^3,IF($F16&lt;=2011,2/3-((($F16-2008)/1)-2)^2+0.5*((($F16-2008)/1)-2)^3,IF($F16&lt;=2012,(4-(($F16-2008)/1))^3/6,0)))))</f>
        <v>0</v>
      </c>
      <c r="AB16" s="16">
        <f>IF($F16&lt;=2009,0,IF($F16&lt;=2010,(($F16-2009)/1)^3/6,IF($F16&lt;=2011,2/3-((($F16-2009)/1)-2)^2-0.5*((($F16-2009)/1)-2)^3,IF($F16&lt;=2012,2/3-((($F16-2009)/1)-2)^2+0.5*((($F16-2009)/1)-2)^3,IF($F16&lt;=2013,(4-(($F16-2009)/1))^3/6,0)))))</f>
        <v>0</v>
      </c>
      <c r="AC16" s="16">
        <f>IF($F16&lt;=2010,0,IF($F16&lt;=2011,(($F16-2010)/1)^3/6,IF($F16&lt;=2012,2/3-((($F16-2010)/1)-2)^2-0.5*((($F16-2010)/1)-2)^3,IF($F16&lt;=2013,2/3-((($F16-2010)/1)-2)^2+0.5*((($F16-2010)/1)-2)^3,IF($F16&lt;=2014,(4-(($F16-2010)/1))^3/6,0)))))</f>
        <v>0</v>
      </c>
      <c r="AD16" s="16">
        <f>IF($F16&lt;=2011,0,IF($F16&lt;=2012,(($F16-2011)/1)^3/6,IF($F16&lt;=2013,2/3-((($F16-2011)/1)-2)^2-0.5*((($F16-2011)/1)-2)^3,IF($F16&lt;=2014,2/3-((($F16-2011)/1)-2)^2+0.5*((($F16-2011)/1)-2)^3,IF($F16&lt;=2015,(4-(($F16-2011)/1))^3/6,0)))))</f>
        <v>0</v>
      </c>
      <c r="AE16" s="16">
        <f>IF($F16&lt;=2012,0,IF($F16&lt;=2013,(($F16-2012)/1)^3/6,IF($F16&lt;=2014,2/3-((($F16-2012)/1)-2)^2-0.5*((($F16-2012)/1)-2)^3,IF($F16&lt;=2015,2/3-((($F16-2012)/1)-2)^2+0.5*((($F16-2012)/1)-2)^3,IF($F16&lt;=2016,(4-(($F16-2012)/1))^3/6,0)))))</f>
        <v>0</v>
      </c>
      <c r="AF16" s="16">
        <f>IF($F16&lt;=2013,0,IF($F16&lt;=2014,(($F16-2013)/1)^3/6,IF($F16&lt;=2015,2/3-((($F16-2013)/1)-2)^2-0.5*((($F16-2013)/1)-2)^3,IF($F16&lt;=2016,2/3-((($F16-2013)/1)-2)^2+0.5*((($F16-2013)/1)-2)^3,IF($F16&lt;=2017,(4-(($F16-2013)/1))^3/6,0)))))</f>
        <v>0</v>
      </c>
      <c r="AG16" s="16">
        <f>IF($F16&lt;=2014,0,IF($F16&lt;=2015,(($F16-2014)/1)^3/6,IF($F16&lt;=2016,2/3-((($F16-2014)/1)-2)^2-0.5*((($F16-2014)/1)-2)^3,IF($F16&lt;=2017,2/3-((($F16-2014)/1)-2)^2+0.5*((($F16-2014)/1)-2)^3,IF($F16&lt;=2018,(4-(($F16-2014)/1))^3/6,0)))))</f>
        <v>0</v>
      </c>
      <c r="AH16" s="16">
        <f>IF($F16&lt;=2015,0,IF($F16&lt;=2016,(($F16-2015)/1)^3/6,IF($F16&lt;=2017,2/3-((($F16-2015)/1)-2)^2-0.5*((($F16-2015)/1)-2)^3,IF($F16&lt;=2018,2/3-((($F16-2015)/1)-2)^2+0.5*((($F16-2015)/1)-2)^3,IF($F16&lt;=2019,(4-(($F16-2015)/1))^3/6,0)))))</f>
        <v>0</v>
      </c>
      <c r="AI16" s="16">
        <f>IF($F16&lt;=2016,0,IF($F16&lt;=2017,(($F16-2016)/1)^3/6,IF($F16&lt;=2018,2/3-((($F16-2016)/1)-2)^2-0.5*((($F16-2016)/1)-2)^3,IF($F16&lt;=2019,2/3-((($F16-2016)/1)-2)^2+0.5*((($F16-2016)/1)-2)^3,IF($F16&lt;=2020,(4-(($F16-2016)/1))^3/6,0)))))</f>
        <v>0</v>
      </c>
      <c r="AJ16" s="16">
        <f>IF($F16&lt;=2017,0,IF($F16&lt;=2018,(($F16-2017)/1)^3/6,IF($F16&lt;=2019,2/3-((($F16-2017)/1)-2)^2-0.5*((($F16-2017)/1)-2)^3,IF($F16&lt;=2020,2/3-((($F16-2017)/1)-2)^2+0.5*((($F16-2017)/1)-2)^3,IF($F16&lt;=2021,(4-(($F16-2017)/1))^3/6,0)))))</f>
        <v>0</v>
      </c>
      <c r="AK16" s="16">
        <f>IF($F16&lt;=2018,0,IF($F16&lt;=2019,(($F16-2018)/1)^3/6,IF($F16&lt;=2020,2/3-((($F16-2018)/1)-2)^2-0.5*((($F16-2018)/1)-2)^3,IF($F16&lt;=2021,2/3-((($F16-2018)/1)-2)^2+0.5*((($F16-2018)/1)-2)^3,IF($F16&lt;=2022,(4-(($F16-2018)/1))^3/6,0)))))</f>
        <v>0</v>
      </c>
    </row>
    <row r="17">
      <c r="A17" s="18" t="n">
        <v>2002</v>
      </c>
      <c r="B17" s="16">
        <f>'Q2(c)_M2'!L24</f>
        <v>-7.3967261984149699</v>
      </c>
      <c r="C17" s="16">
        <f>B17-B16</f>
        <v>-0.049432215988834301</v>
      </c>
      <c r="D17" s="16">
        <f>C17-C16</f>
        <v>0.039439304411465599</v>
      </c>
      <c r="F17" s="18" t="n">
        <v>2005</v>
      </c>
      <c r="G17" s="16">
        <f>'M_70_t'!B12</f>
        <v>0.000583834238658234</v>
      </c>
      <c r="H17" s="16">
        <f>SUMPRODUCT(K17:AK17,$K$5:$AK$5)</f>
        <v>-7.4375816132034798</v>
      </c>
      <c r="I17" s="16">
        <f>EXP(H17)</f>
        <v>0.00058870719909535495</v>
      </c>
      <c r="J17" s="15" t="inlineStr">
        <is>
          <t>Projected</t>
        </is>
      </c>
      <c r="K17" s="16">
        <f>IF($F17&lt;=1992,0,IF($F17&lt;=1993,(($F17-1992)/1)^3/6,IF($F17&lt;=1994,2/3-((($F17-1992)/1)-2)^2-0.5*((($F17-1992)/1)-2)^3,IF($F17&lt;=1995,2/3-((($F17-1992)/1)-2)^2+0.5*((($F17-1992)/1)-2)^3,IF($F17&lt;=1996,(4-(($F17-1992)/1))^3/6,0)))))</f>
        <v>0</v>
      </c>
      <c r="L17" s="16">
        <f>IF($F17&lt;=1993,0,IF($F17&lt;=1994,(($F17-1993)/1)^3/6,IF($F17&lt;=1995,2/3-((($F17-1993)/1)-2)^2-0.5*((($F17-1993)/1)-2)^3,IF($F17&lt;=1996,2/3-((($F17-1993)/1)-2)^2+0.5*((($F17-1993)/1)-2)^3,IF($F17&lt;=1997,(4-(($F17-1993)/1))^3/6,0)))))</f>
        <v>0</v>
      </c>
      <c r="M17" s="16">
        <f>IF($F17&lt;=1994,0,IF($F17&lt;=1995,(($F17-1994)/1)^3/6,IF($F17&lt;=1996,2/3-((($F17-1994)/1)-2)^2-0.5*((($F17-1994)/1)-2)^3,IF($F17&lt;=1997,2/3-((($F17-1994)/1)-2)^2+0.5*((($F17-1994)/1)-2)^3,IF($F17&lt;=1998,(4-(($F17-1994)/1))^3/6,0)))))</f>
        <v>0</v>
      </c>
      <c r="N17" s="16">
        <f>IF($F17&lt;=1995,0,IF($F17&lt;=1996,(($F17-1995)/1)^3/6,IF($F17&lt;=1997,2/3-((($F17-1995)/1)-2)^2-0.5*((($F17-1995)/1)-2)^3,IF($F17&lt;=1998,2/3-((($F17-1995)/1)-2)^2+0.5*((($F17-1995)/1)-2)^3,IF($F17&lt;=1999,(4-(($F17-1995)/1))^3/6,0)))))</f>
        <v>0</v>
      </c>
      <c r="O17" s="16">
        <f>IF($F17&lt;=1996,0,IF($F17&lt;=1997,(($F17-1996)/1)^3/6,IF($F17&lt;=1998,2/3-((($F17-1996)/1)-2)^2-0.5*((($F17-1996)/1)-2)^3,IF($F17&lt;=1999,2/3-((($F17-1996)/1)-2)^2+0.5*((($F17-1996)/1)-2)^3,IF($F17&lt;=2000,(4-(($F17-1996)/1))^3/6,0)))))</f>
        <v>0</v>
      </c>
      <c r="P17" s="16">
        <f>IF($F17&lt;=1997,0,IF($F17&lt;=1998,(($F17-1997)/1)^3/6,IF($F17&lt;=1999,2/3-((($F17-1997)/1)-2)^2-0.5*((($F17-1997)/1)-2)^3,IF($F17&lt;=2000,2/3-((($F17-1997)/1)-2)^2+0.5*((($F17-1997)/1)-2)^3,IF($F17&lt;=2001,(4-(($F17-1997)/1))^3/6,0)))))</f>
        <v>0</v>
      </c>
      <c r="Q17" s="16">
        <f>IF($F17&lt;=1998,0,IF($F17&lt;=1999,(($F17-1998)/1)^3/6,IF($F17&lt;=2000,2/3-((($F17-1998)/1)-2)^2-0.5*((($F17-1998)/1)-2)^3,IF($F17&lt;=2001,2/3-((($F17-1998)/1)-2)^2+0.5*((($F17-1998)/1)-2)^3,IF($F17&lt;=2002,(4-(($F17-1998)/1))^3/6,0)))))</f>
        <v>0</v>
      </c>
      <c r="R17" s="16">
        <f>IF($F17&lt;=1999,0,IF($F17&lt;=2000,(($F17-1999)/1)^3/6,IF($F17&lt;=2001,2/3-((($F17-1999)/1)-2)^2-0.5*((($F17-1999)/1)-2)^3,IF($F17&lt;=2002,2/3-((($F17-1999)/1)-2)^2+0.5*((($F17-1999)/1)-2)^3,IF($F17&lt;=2003,(4-(($F17-1999)/1))^3/6,0)))))</f>
        <v>0</v>
      </c>
      <c r="S17" s="16">
        <f>IF($F17&lt;=2000,0,IF($F17&lt;=2001,(($F17-2000)/1)^3/6,IF($F17&lt;=2002,2/3-((($F17-2000)/1)-2)^2-0.5*((($F17-2000)/1)-2)^3,IF($F17&lt;=2003,2/3-((($F17-2000)/1)-2)^2+0.5*((($F17-2000)/1)-2)^3,IF($F17&lt;=2004,(4-(($F17-2000)/1))^3/6,0)))))</f>
        <v>0</v>
      </c>
      <c r="T17" s="16">
        <f>IF($F17&lt;=2001,0,IF($F17&lt;=2002,(($F17-2001)/1)^3/6,IF($F17&lt;=2003,2/3-((($F17-2001)/1)-2)^2-0.5*((($F17-2001)/1)-2)^3,IF($F17&lt;=2004,2/3-((($F17-2001)/1)-2)^2+0.5*((($F17-2001)/1)-2)^3,IF($F17&lt;=2005,(4-(($F17-2001)/1))^3/6,0)))))</f>
        <v>0</v>
      </c>
      <c r="U17" s="16">
        <f>IF($F17&lt;=2002,0,IF($F17&lt;=2003,(($F17-2002)/1)^3/6,IF($F17&lt;=2004,2/3-((($F17-2002)/1)-2)^2-0.5*((($F17-2002)/1)-2)^3,IF($F17&lt;=2005,2/3-((($F17-2002)/1)-2)^2+0.5*((($F17-2002)/1)-2)^3,IF($F17&lt;=2006,(4-(($F17-2002)/1))^3/6,0)))))</f>
        <v>0.16666666666666699</v>
      </c>
      <c r="V17" s="16">
        <f>IF($F17&lt;=2003,0,IF($F17&lt;=2004,(($F17-2003)/1)^3/6,IF($F17&lt;=2005,2/3-((($F17-2003)/1)-2)^2-0.5*((($F17-2003)/1)-2)^3,IF($F17&lt;=2006,2/3-((($F17-2003)/1)-2)^2+0.5*((($F17-2003)/1)-2)^3,IF($F17&lt;=2007,(4-(($F17-2003)/1))^3/6,0)))))</f>
        <v>0.66666666666666696</v>
      </c>
      <c r="W17" s="16">
        <f>IF($F17&lt;=2004,0,IF($F17&lt;=2005,(($F17-2004)/1)^3/6,IF($F17&lt;=2006,2/3-((($F17-2004)/1)-2)^2-0.5*((($F17-2004)/1)-2)^3,IF($F17&lt;=2007,2/3-((($F17-2004)/1)-2)^2+0.5*((($F17-2004)/1)-2)^3,IF($F17&lt;=2008,(4-(($F17-2004)/1))^3/6,0)))))</f>
        <v>0.16666666666666699</v>
      </c>
      <c r="X17" s="16">
        <f>IF($F17&lt;=2005,0,IF($F17&lt;=2006,(($F17-2005)/1)^3/6,IF($F17&lt;=2007,2/3-((($F17-2005)/1)-2)^2-0.5*((($F17-2005)/1)-2)^3,IF($F17&lt;=2008,2/3-((($F17-2005)/1)-2)^2+0.5*((($F17-2005)/1)-2)^3,IF($F17&lt;=2009,(4-(($F17-2005)/1))^3/6,0)))))</f>
        <v>0</v>
      </c>
      <c r="Y17" s="16">
        <f>IF($F17&lt;=2006,0,IF($F17&lt;=2007,(($F17-2006)/1)^3/6,IF($F17&lt;=2008,2/3-((($F17-2006)/1)-2)^2-0.5*((($F17-2006)/1)-2)^3,IF($F17&lt;=2009,2/3-((($F17-2006)/1)-2)^2+0.5*((($F17-2006)/1)-2)^3,IF($F17&lt;=2010,(4-(($F17-2006)/1))^3/6,0)))))</f>
        <v>0</v>
      </c>
      <c r="Z17" s="16">
        <f>IF($F17&lt;=2007,0,IF($F17&lt;=2008,(($F17-2007)/1)^3/6,IF($F17&lt;=2009,2/3-((($F17-2007)/1)-2)^2-0.5*((($F17-2007)/1)-2)^3,IF($F17&lt;=2010,2/3-((($F17-2007)/1)-2)^2+0.5*((($F17-2007)/1)-2)^3,IF($F17&lt;=2011,(4-(($F17-2007)/1))^3/6,0)))))</f>
        <v>0</v>
      </c>
      <c r="AA17" s="16">
        <f>IF($F17&lt;=2008,0,IF($F17&lt;=2009,(($F17-2008)/1)^3/6,IF($F17&lt;=2010,2/3-((($F17-2008)/1)-2)^2-0.5*((($F17-2008)/1)-2)^3,IF($F17&lt;=2011,2/3-((($F17-2008)/1)-2)^2+0.5*((($F17-2008)/1)-2)^3,IF($F17&lt;=2012,(4-(($F17-2008)/1))^3/6,0)))))</f>
        <v>0</v>
      </c>
      <c r="AB17" s="16">
        <f>IF($F17&lt;=2009,0,IF($F17&lt;=2010,(($F17-2009)/1)^3/6,IF($F17&lt;=2011,2/3-((($F17-2009)/1)-2)^2-0.5*((($F17-2009)/1)-2)^3,IF($F17&lt;=2012,2/3-((($F17-2009)/1)-2)^2+0.5*((($F17-2009)/1)-2)^3,IF($F17&lt;=2013,(4-(($F17-2009)/1))^3/6,0)))))</f>
        <v>0</v>
      </c>
      <c r="AC17" s="16">
        <f>IF($F17&lt;=2010,0,IF($F17&lt;=2011,(($F17-2010)/1)^3/6,IF($F17&lt;=2012,2/3-((($F17-2010)/1)-2)^2-0.5*((($F17-2010)/1)-2)^3,IF($F17&lt;=2013,2/3-((($F17-2010)/1)-2)^2+0.5*((($F17-2010)/1)-2)^3,IF($F17&lt;=2014,(4-(($F17-2010)/1))^3/6,0)))))</f>
        <v>0</v>
      </c>
      <c r="AD17" s="16">
        <f>IF($F17&lt;=2011,0,IF($F17&lt;=2012,(($F17-2011)/1)^3/6,IF($F17&lt;=2013,2/3-((($F17-2011)/1)-2)^2-0.5*((($F17-2011)/1)-2)^3,IF($F17&lt;=2014,2/3-((($F17-2011)/1)-2)^2+0.5*((($F17-2011)/1)-2)^3,IF($F17&lt;=2015,(4-(($F17-2011)/1))^3/6,0)))))</f>
        <v>0</v>
      </c>
      <c r="AE17" s="16">
        <f>IF($F17&lt;=2012,0,IF($F17&lt;=2013,(($F17-2012)/1)^3/6,IF($F17&lt;=2014,2/3-((($F17-2012)/1)-2)^2-0.5*((($F17-2012)/1)-2)^3,IF($F17&lt;=2015,2/3-((($F17-2012)/1)-2)^2+0.5*((($F17-2012)/1)-2)^3,IF($F17&lt;=2016,(4-(($F17-2012)/1))^3/6,0)))))</f>
        <v>0</v>
      </c>
      <c r="AF17" s="16">
        <f>IF($F17&lt;=2013,0,IF($F17&lt;=2014,(($F17-2013)/1)^3/6,IF($F17&lt;=2015,2/3-((($F17-2013)/1)-2)^2-0.5*((($F17-2013)/1)-2)^3,IF($F17&lt;=2016,2/3-((($F17-2013)/1)-2)^2+0.5*((($F17-2013)/1)-2)^3,IF($F17&lt;=2017,(4-(($F17-2013)/1))^3/6,0)))))</f>
        <v>0</v>
      </c>
      <c r="AG17" s="16">
        <f>IF($F17&lt;=2014,0,IF($F17&lt;=2015,(($F17-2014)/1)^3/6,IF($F17&lt;=2016,2/3-((($F17-2014)/1)-2)^2-0.5*((($F17-2014)/1)-2)^3,IF($F17&lt;=2017,2/3-((($F17-2014)/1)-2)^2+0.5*((($F17-2014)/1)-2)^3,IF($F17&lt;=2018,(4-(($F17-2014)/1))^3/6,0)))))</f>
        <v>0</v>
      </c>
      <c r="AH17" s="16">
        <f>IF($F17&lt;=2015,0,IF($F17&lt;=2016,(($F17-2015)/1)^3/6,IF($F17&lt;=2017,2/3-((($F17-2015)/1)-2)^2-0.5*((($F17-2015)/1)-2)^3,IF($F17&lt;=2018,2/3-((($F17-2015)/1)-2)^2+0.5*((($F17-2015)/1)-2)^3,IF($F17&lt;=2019,(4-(($F17-2015)/1))^3/6,0)))))</f>
        <v>0</v>
      </c>
      <c r="AI17" s="16">
        <f>IF($F17&lt;=2016,0,IF($F17&lt;=2017,(($F17-2016)/1)^3/6,IF($F17&lt;=2018,2/3-((($F17-2016)/1)-2)^2-0.5*((($F17-2016)/1)-2)^3,IF($F17&lt;=2019,2/3-((($F17-2016)/1)-2)^2+0.5*((($F17-2016)/1)-2)^3,IF($F17&lt;=2020,(4-(($F17-2016)/1))^3/6,0)))))</f>
        <v>0</v>
      </c>
      <c r="AJ17" s="16">
        <f>IF($F17&lt;=2017,0,IF($F17&lt;=2018,(($F17-2017)/1)^3/6,IF($F17&lt;=2019,2/3-((($F17-2017)/1)-2)^2-0.5*((($F17-2017)/1)-2)^3,IF($F17&lt;=2020,2/3-((($F17-2017)/1)-2)^2+0.5*((($F17-2017)/1)-2)^3,IF($F17&lt;=2021,(4-(($F17-2017)/1))^3/6,0)))))</f>
        <v>0</v>
      </c>
      <c r="AK17" s="16">
        <f>IF($F17&lt;=2018,0,IF($F17&lt;=2019,(($F17-2018)/1)^3/6,IF($F17&lt;=2020,2/3-((($F17-2018)/1)-2)^2-0.5*((($F17-2018)/1)-2)^3,IF($F17&lt;=2021,2/3-((($F17-2018)/1)-2)^2+0.5*((($F17-2018)/1)-2)^3,IF($F17&lt;=2022,(4-(($F17-2018)/1))^3/6,0)))))</f>
        <v>0</v>
      </c>
    </row>
    <row r="18">
      <c r="A18" s="18" t="n">
        <v>2003</v>
      </c>
      <c r="B18" s="16">
        <f>'Q2(c)_M2'!M24</f>
        <v>-7.4375816132034798</v>
      </c>
      <c r="C18" s="16">
        <f>B18-B17</f>
        <v>-0.040855414788505399</v>
      </c>
      <c r="D18" s="16">
        <f>C18-C17</f>
        <v>0.0085768012003288908</v>
      </c>
      <c r="F18" s="18" t="n">
        <v>2006</v>
      </c>
      <c r="G18" s="16">
        <f>'M_70_t'!B13</f>
        <v>0.00049907284917174999</v>
      </c>
      <c r="H18" s="16">
        <f>SUMPRODUCT(K18:AK18,$K$5:$AK$5)</f>
        <v>-7.4784370279919798</v>
      </c>
      <c r="I18" s="16">
        <f>EXP(H18)</f>
        <v>0.00056514002368474102</v>
      </c>
      <c r="J18" s="15" t="inlineStr">
        <is>
          <t>Projected</t>
        </is>
      </c>
      <c r="K18" s="16">
        <f>IF($F18&lt;=1992,0,IF($F18&lt;=1993,(($F18-1992)/1)^3/6,IF($F18&lt;=1994,2/3-((($F18-1992)/1)-2)^2-0.5*((($F18-1992)/1)-2)^3,IF($F18&lt;=1995,2/3-((($F18-1992)/1)-2)^2+0.5*((($F18-1992)/1)-2)^3,IF($F18&lt;=1996,(4-(($F18-1992)/1))^3/6,0)))))</f>
        <v>0</v>
      </c>
      <c r="L18" s="16">
        <f>IF($F18&lt;=1993,0,IF($F18&lt;=1994,(($F18-1993)/1)^3/6,IF($F18&lt;=1995,2/3-((($F18-1993)/1)-2)^2-0.5*((($F18-1993)/1)-2)^3,IF($F18&lt;=1996,2/3-((($F18-1993)/1)-2)^2+0.5*((($F18-1993)/1)-2)^3,IF($F18&lt;=1997,(4-(($F18-1993)/1))^3/6,0)))))</f>
        <v>0</v>
      </c>
      <c r="M18" s="16">
        <f>IF($F18&lt;=1994,0,IF($F18&lt;=1995,(($F18-1994)/1)^3/6,IF($F18&lt;=1996,2/3-((($F18-1994)/1)-2)^2-0.5*((($F18-1994)/1)-2)^3,IF($F18&lt;=1997,2/3-((($F18-1994)/1)-2)^2+0.5*((($F18-1994)/1)-2)^3,IF($F18&lt;=1998,(4-(($F18-1994)/1))^3/6,0)))))</f>
        <v>0</v>
      </c>
      <c r="N18" s="16">
        <f>IF($F18&lt;=1995,0,IF($F18&lt;=1996,(($F18-1995)/1)^3/6,IF($F18&lt;=1997,2/3-((($F18-1995)/1)-2)^2-0.5*((($F18-1995)/1)-2)^3,IF($F18&lt;=1998,2/3-((($F18-1995)/1)-2)^2+0.5*((($F18-1995)/1)-2)^3,IF($F18&lt;=1999,(4-(($F18-1995)/1))^3/6,0)))))</f>
        <v>0</v>
      </c>
      <c r="O18" s="16">
        <f>IF($F18&lt;=1996,0,IF($F18&lt;=1997,(($F18-1996)/1)^3/6,IF($F18&lt;=1998,2/3-((($F18-1996)/1)-2)^2-0.5*((($F18-1996)/1)-2)^3,IF($F18&lt;=1999,2/3-((($F18-1996)/1)-2)^2+0.5*((($F18-1996)/1)-2)^3,IF($F18&lt;=2000,(4-(($F18-1996)/1))^3/6,0)))))</f>
        <v>0</v>
      </c>
      <c r="P18" s="16">
        <f>IF($F18&lt;=1997,0,IF($F18&lt;=1998,(($F18-1997)/1)^3/6,IF($F18&lt;=1999,2/3-((($F18-1997)/1)-2)^2-0.5*((($F18-1997)/1)-2)^3,IF($F18&lt;=2000,2/3-((($F18-1997)/1)-2)^2+0.5*((($F18-1997)/1)-2)^3,IF($F18&lt;=2001,(4-(($F18-1997)/1))^3/6,0)))))</f>
        <v>0</v>
      </c>
      <c r="Q18" s="16">
        <f>IF($F18&lt;=1998,0,IF($F18&lt;=1999,(($F18-1998)/1)^3/6,IF($F18&lt;=2000,2/3-((($F18-1998)/1)-2)^2-0.5*((($F18-1998)/1)-2)^3,IF($F18&lt;=2001,2/3-((($F18-1998)/1)-2)^2+0.5*((($F18-1998)/1)-2)^3,IF($F18&lt;=2002,(4-(($F18-1998)/1))^3/6,0)))))</f>
        <v>0</v>
      </c>
      <c r="R18" s="16">
        <f>IF($F18&lt;=1999,0,IF($F18&lt;=2000,(($F18-1999)/1)^3/6,IF($F18&lt;=2001,2/3-((($F18-1999)/1)-2)^2-0.5*((($F18-1999)/1)-2)^3,IF($F18&lt;=2002,2/3-((($F18-1999)/1)-2)^2+0.5*((($F18-1999)/1)-2)^3,IF($F18&lt;=2003,(4-(($F18-1999)/1))^3/6,0)))))</f>
        <v>0</v>
      </c>
      <c r="S18" s="16">
        <f>IF($F18&lt;=2000,0,IF($F18&lt;=2001,(($F18-2000)/1)^3/6,IF($F18&lt;=2002,2/3-((($F18-2000)/1)-2)^2-0.5*((($F18-2000)/1)-2)^3,IF($F18&lt;=2003,2/3-((($F18-2000)/1)-2)^2+0.5*((($F18-2000)/1)-2)^3,IF($F18&lt;=2004,(4-(($F18-2000)/1))^3/6,0)))))</f>
        <v>0</v>
      </c>
      <c r="T18" s="16">
        <f>IF($F18&lt;=2001,0,IF($F18&lt;=2002,(($F18-2001)/1)^3/6,IF($F18&lt;=2003,2/3-((($F18-2001)/1)-2)^2-0.5*((($F18-2001)/1)-2)^3,IF($F18&lt;=2004,2/3-((($F18-2001)/1)-2)^2+0.5*((($F18-2001)/1)-2)^3,IF($F18&lt;=2005,(4-(($F18-2001)/1))^3/6,0)))))</f>
        <v>0</v>
      </c>
      <c r="U18" s="16">
        <f>IF($F18&lt;=2002,0,IF($F18&lt;=2003,(($F18-2002)/1)^3/6,IF($F18&lt;=2004,2/3-((($F18-2002)/1)-2)^2-0.5*((($F18-2002)/1)-2)^3,IF($F18&lt;=2005,2/3-((($F18-2002)/1)-2)^2+0.5*((($F18-2002)/1)-2)^3,IF($F18&lt;=2006,(4-(($F18-2002)/1))^3/6,0)))))</f>
        <v>0</v>
      </c>
      <c r="V18" s="16">
        <f>IF($F18&lt;=2003,0,IF($F18&lt;=2004,(($F18-2003)/1)^3/6,IF($F18&lt;=2005,2/3-((($F18-2003)/1)-2)^2-0.5*((($F18-2003)/1)-2)^3,IF($F18&lt;=2006,2/3-((($F18-2003)/1)-2)^2+0.5*((($F18-2003)/1)-2)^3,IF($F18&lt;=2007,(4-(($F18-2003)/1))^3/6,0)))))</f>
        <v>0.16666666666666699</v>
      </c>
      <c r="W18" s="16">
        <f>IF($F18&lt;=2004,0,IF($F18&lt;=2005,(($F18-2004)/1)^3/6,IF($F18&lt;=2006,2/3-((($F18-2004)/1)-2)^2-0.5*((($F18-2004)/1)-2)^3,IF($F18&lt;=2007,2/3-((($F18-2004)/1)-2)^2+0.5*((($F18-2004)/1)-2)^3,IF($F18&lt;=2008,(4-(($F18-2004)/1))^3/6,0)))))</f>
        <v>0.66666666666666696</v>
      </c>
      <c r="X18" s="16">
        <f>IF($F18&lt;=2005,0,IF($F18&lt;=2006,(($F18-2005)/1)^3/6,IF($F18&lt;=2007,2/3-((($F18-2005)/1)-2)^2-0.5*((($F18-2005)/1)-2)^3,IF($F18&lt;=2008,2/3-((($F18-2005)/1)-2)^2+0.5*((($F18-2005)/1)-2)^3,IF($F18&lt;=2009,(4-(($F18-2005)/1))^3/6,0)))))</f>
        <v>0.16666666666666699</v>
      </c>
      <c r="Y18" s="16">
        <f>IF($F18&lt;=2006,0,IF($F18&lt;=2007,(($F18-2006)/1)^3/6,IF($F18&lt;=2008,2/3-((($F18-2006)/1)-2)^2-0.5*((($F18-2006)/1)-2)^3,IF($F18&lt;=2009,2/3-((($F18-2006)/1)-2)^2+0.5*((($F18-2006)/1)-2)^3,IF($F18&lt;=2010,(4-(($F18-2006)/1))^3/6,0)))))</f>
        <v>0</v>
      </c>
      <c r="Z18" s="16">
        <f>IF($F18&lt;=2007,0,IF($F18&lt;=2008,(($F18-2007)/1)^3/6,IF($F18&lt;=2009,2/3-((($F18-2007)/1)-2)^2-0.5*((($F18-2007)/1)-2)^3,IF($F18&lt;=2010,2/3-((($F18-2007)/1)-2)^2+0.5*((($F18-2007)/1)-2)^3,IF($F18&lt;=2011,(4-(($F18-2007)/1))^3/6,0)))))</f>
        <v>0</v>
      </c>
      <c r="AA18" s="16">
        <f>IF($F18&lt;=2008,0,IF($F18&lt;=2009,(($F18-2008)/1)^3/6,IF($F18&lt;=2010,2/3-((($F18-2008)/1)-2)^2-0.5*((($F18-2008)/1)-2)^3,IF($F18&lt;=2011,2/3-((($F18-2008)/1)-2)^2+0.5*((($F18-2008)/1)-2)^3,IF($F18&lt;=2012,(4-(($F18-2008)/1))^3/6,0)))))</f>
        <v>0</v>
      </c>
      <c r="AB18" s="16">
        <f>IF($F18&lt;=2009,0,IF($F18&lt;=2010,(($F18-2009)/1)^3/6,IF($F18&lt;=2011,2/3-((($F18-2009)/1)-2)^2-0.5*((($F18-2009)/1)-2)^3,IF($F18&lt;=2012,2/3-((($F18-2009)/1)-2)^2+0.5*((($F18-2009)/1)-2)^3,IF($F18&lt;=2013,(4-(($F18-2009)/1))^3/6,0)))))</f>
        <v>0</v>
      </c>
      <c r="AC18" s="16">
        <f>IF($F18&lt;=2010,0,IF($F18&lt;=2011,(($F18-2010)/1)^3/6,IF($F18&lt;=2012,2/3-((($F18-2010)/1)-2)^2-0.5*((($F18-2010)/1)-2)^3,IF($F18&lt;=2013,2/3-((($F18-2010)/1)-2)^2+0.5*((($F18-2010)/1)-2)^3,IF($F18&lt;=2014,(4-(($F18-2010)/1))^3/6,0)))))</f>
        <v>0</v>
      </c>
      <c r="AD18" s="16">
        <f>IF($F18&lt;=2011,0,IF($F18&lt;=2012,(($F18-2011)/1)^3/6,IF($F18&lt;=2013,2/3-((($F18-2011)/1)-2)^2-0.5*((($F18-2011)/1)-2)^3,IF($F18&lt;=2014,2/3-((($F18-2011)/1)-2)^2+0.5*((($F18-2011)/1)-2)^3,IF($F18&lt;=2015,(4-(($F18-2011)/1))^3/6,0)))))</f>
        <v>0</v>
      </c>
      <c r="AE18" s="16">
        <f>IF($F18&lt;=2012,0,IF($F18&lt;=2013,(($F18-2012)/1)^3/6,IF($F18&lt;=2014,2/3-((($F18-2012)/1)-2)^2-0.5*((($F18-2012)/1)-2)^3,IF($F18&lt;=2015,2/3-((($F18-2012)/1)-2)^2+0.5*((($F18-2012)/1)-2)^3,IF($F18&lt;=2016,(4-(($F18-2012)/1))^3/6,0)))))</f>
        <v>0</v>
      </c>
      <c r="AF18" s="16">
        <f>IF($F18&lt;=2013,0,IF($F18&lt;=2014,(($F18-2013)/1)^3/6,IF($F18&lt;=2015,2/3-((($F18-2013)/1)-2)^2-0.5*((($F18-2013)/1)-2)^3,IF($F18&lt;=2016,2/3-((($F18-2013)/1)-2)^2+0.5*((($F18-2013)/1)-2)^3,IF($F18&lt;=2017,(4-(($F18-2013)/1))^3/6,0)))))</f>
        <v>0</v>
      </c>
      <c r="AG18" s="16">
        <f>IF($F18&lt;=2014,0,IF($F18&lt;=2015,(($F18-2014)/1)^3/6,IF($F18&lt;=2016,2/3-((($F18-2014)/1)-2)^2-0.5*((($F18-2014)/1)-2)^3,IF($F18&lt;=2017,2/3-((($F18-2014)/1)-2)^2+0.5*((($F18-2014)/1)-2)^3,IF($F18&lt;=2018,(4-(($F18-2014)/1))^3/6,0)))))</f>
        <v>0</v>
      </c>
      <c r="AH18" s="16">
        <f>IF($F18&lt;=2015,0,IF($F18&lt;=2016,(($F18-2015)/1)^3/6,IF($F18&lt;=2017,2/3-((($F18-2015)/1)-2)^2-0.5*((($F18-2015)/1)-2)^3,IF($F18&lt;=2018,2/3-((($F18-2015)/1)-2)^2+0.5*((($F18-2015)/1)-2)^3,IF($F18&lt;=2019,(4-(($F18-2015)/1))^3/6,0)))))</f>
        <v>0</v>
      </c>
      <c r="AI18" s="16">
        <f>IF($F18&lt;=2016,0,IF($F18&lt;=2017,(($F18-2016)/1)^3/6,IF($F18&lt;=2018,2/3-((($F18-2016)/1)-2)^2-0.5*((($F18-2016)/1)-2)^3,IF($F18&lt;=2019,2/3-((($F18-2016)/1)-2)^2+0.5*((($F18-2016)/1)-2)^3,IF($F18&lt;=2020,(4-(($F18-2016)/1))^3/6,0)))))</f>
        <v>0</v>
      </c>
      <c r="AJ18" s="16">
        <f>IF($F18&lt;=2017,0,IF($F18&lt;=2018,(($F18-2017)/1)^3/6,IF($F18&lt;=2019,2/3-((($F18-2017)/1)-2)^2-0.5*((($F18-2017)/1)-2)^3,IF($F18&lt;=2020,2/3-((($F18-2017)/1)-2)^2+0.5*((($F18-2017)/1)-2)^3,IF($F18&lt;=2021,(4-(($F18-2017)/1))^3/6,0)))))</f>
        <v>0</v>
      </c>
      <c r="AK18" s="16">
        <f>IF($F18&lt;=2018,0,IF($F18&lt;=2019,(($F18-2018)/1)^3/6,IF($F18&lt;=2020,2/3-((($F18-2018)/1)-2)^2-0.5*((($F18-2018)/1)-2)^3,IF($F18&lt;=2021,2/3-((($F18-2018)/1)-2)^2+0.5*((($F18-2018)/1)-2)^3,IF($F18&lt;=2022,(4-(($F18-2018)/1))^3/6,0)))))</f>
        <v>0</v>
      </c>
    </row>
    <row r="19">
      <c r="A19" s="18" t="n">
        <v>2004</v>
      </c>
      <c r="B19" s="16">
        <f>2*B18-B17</f>
        <v>-7.4784370279919798</v>
      </c>
      <c r="C19" s="16">
        <f>B19-B18</f>
        <v>-0.040855414788505399</v>
      </c>
      <c r="D19" s="16">
        <f>C19-C18</f>
        <v>0</v>
      </c>
      <c r="F19" s="18" t="n">
        <v>2007</v>
      </c>
      <c r="G19" s="16">
        <f>'M_70_t'!B14</f>
        <v>0.00056241539734553498</v>
      </c>
      <c r="H19" s="16">
        <f>SUMPRODUCT(K19:AK19,$K$5:$AK$5)</f>
        <v>-7.5192924427804897</v>
      </c>
      <c r="I19" s="16">
        <f>EXP(H19)</f>
        <v>0.00054251629139438697</v>
      </c>
      <c r="J19" s="15" t="inlineStr">
        <is>
          <t>Projected</t>
        </is>
      </c>
      <c r="K19" s="16">
        <f>IF($F19&lt;=1992,0,IF($F19&lt;=1993,(($F19-1992)/1)^3/6,IF($F19&lt;=1994,2/3-((($F19-1992)/1)-2)^2-0.5*((($F19-1992)/1)-2)^3,IF($F19&lt;=1995,2/3-((($F19-1992)/1)-2)^2+0.5*((($F19-1992)/1)-2)^3,IF($F19&lt;=1996,(4-(($F19-1992)/1))^3/6,0)))))</f>
        <v>0</v>
      </c>
      <c r="L19" s="16">
        <f>IF($F19&lt;=1993,0,IF($F19&lt;=1994,(($F19-1993)/1)^3/6,IF($F19&lt;=1995,2/3-((($F19-1993)/1)-2)^2-0.5*((($F19-1993)/1)-2)^3,IF($F19&lt;=1996,2/3-((($F19-1993)/1)-2)^2+0.5*((($F19-1993)/1)-2)^3,IF($F19&lt;=1997,(4-(($F19-1993)/1))^3/6,0)))))</f>
        <v>0</v>
      </c>
      <c r="M19" s="16">
        <f>IF($F19&lt;=1994,0,IF($F19&lt;=1995,(($F19-1994)/1)^3/6,IF($F19&lt;=1996,2/3-((($F19-1994)/1)-2)^2-0.5*((($F19-1994)/1)-2)^3,IF($F19&lt;=1997,2/3-((($F19-1994)/1)-2)^2+0.5*((($F19-1994)/1)-2)^3,IF($F19&lt;=1998,(4-(($F19-1994)/1))^3/6,0)))))</f>
        <v>0</v>
      </c>
      <c r="N19" s="16">
        <f>IF($F19&lt;=1995,0,IF($F19&lt;=1996,(($F19-1995)/1)^3/6,IF($F19&lt;=1997,2/3-((($F19-1995)/1)-2)^2-0.5*((($F19-1995)/1)-2)^3,IF($F19&lt;=1998,2/3-((($F19-1995)/1)-2)^2+0.5*((($F19-1995)/1)-2)^3,IF($F19&lt;=1999,(4-(($F19-1995)/1))^3/6,0)))))</f>
        <v>0</v>
      </c>
      <c r="O19" s="16">
        <f>IF($F19&lt;=1996,0,IF($F19&lt;=1997,(($F19-1996)/1)^3/6,IF($F19&lt;=1998,2/3-((($F19-1996)/1)-2)^2-0.5*((($F19-1996)/1)-2)^3,IF($F19&lt;=1999,2/3-((($F19-1996)/1)-2)^2+0.5*((($F19-1996)/1)-2)^3,IF($F19&lt;=2000,(4-(($F19-1996)/1))^3/6,0)))))</f>
        <v>0</v>
      </c>
      <c r="P19" s="16">
        <f>IF($F19&lt;=1997,0,IF($F19&lt;=1998,(($F19-1997)/1)^3/6,IF($F19&lt;=1999,2/3-((($F19-1997)/1)-2)^2-0.5*((($F19-1997)/1)-2)^3,IF($F19&lt;=2000,2/3-((($F19-1997)/1)-2)^2+0.5*((($F19-1997)/1)-2)^3,IF($F19&lt;=2001,(4-(($F19-1997)/1))^3/6,0)))))</f>
        <v>0</v>
      </c>
      <c r="Q19" s="16">
        <f>IF($F19&lt;=1998,0,IF($F19&lt;=1999,(($F19-1998)/1)^3/6,IF($F19&lt;=2000,2/3-((($F19-1998)/1)-2)^2-0.5*((($F19-1998)/1)-2)^3,IF($F19&lt;=2001,2/3-((($F19-1998)/1)-2)^2+0.5*((($F19-1998)/1)-2)^3,IF($F19&lt;=2002,(4-(($F19-1998)/1))^3/6,0)))))</f>
        <v>0</v>
      </c>
      <c r="R19" s="16">
        <f>IF($F19&lt;=1999,0,IF($F19&lt;=2000,(($F19-1999)/1)^3/6,IF($F19&lt;=2001,2/3-((($F19-1999)/1)-2)^2-0.5*((($F19-1999)/1)-2)^3,IF($F19&lt;=2002,2/3-((($F19-1999)/1)-2)^2+0.5*((($F19-1999)/1)-2)^3,IF($F19&lt;=2003,(4-(($F19-1999)/1))^3/6,0)))))</f>
        <v>0</v>
      </c>
      <c r="S19" s="16">
        <f>IF($F19&lt;=2000,0,IF($F19&lt;=2001,(($F19-2000)/1)^3/6,IF($F19&lt;=2002,2/3-((($F19-2000)/1)-2)^2-0.5*((($F19-2000)/1)-2)^3,IF($F19&lt;=2003,2/3-((($F19-2000)/1)-2)^2+0.5*((($F19-2000)/1)-2)^3,IF($F19&lt;=2004,(4-(($F19-2000)/1))^3/6,0)))))</f>
        <v>0</v>
      </c>
      <c r="T19" s="16">
        <f>IF($F19&lt;=2001,0,IF($F19&lt;=2002,(($F19-2001)/1)^3/6,IF($F19&lt;=2003,2/3-((($F19-2001)/1)-2)^2-0.5*((($F19-2001)/1)-2)^3,IF($F19&lt;=2004,2/3-((($F19-2001)/1)-2)^2+0.5*((($F19-2001)/1)-2)^3,IF($F19&lt;=2005,(4-(($F19-2001)/1))^3/6,0)))))</f>
        <v>0</v>
      </c>
      <c r="U19" s="16">
        <f>IF($F19&lt;=2002,0,IF($F19&lt;=2003,(($F19-2002)/1)^3/6,IF($F19&lt;=2004,2/3-((($F19-2002)/1)-2)^2-0.5*((($F19-2002)/1)-2)^3,IF($F19&lt;=2005,2/3-((($F19-2002)/1)-2)^2+0.5*((($F19-2002)/1)-2)^3,IF($F19&lt;=2006,(4-(($F19-2002)/1))^3/6,0)))))</f>
        <v>0</v>
      </c>
      <c r="V19" s="16">
        <f>IF($F19&lt;=2003,0,IF($F19&lt;=2004,(($F19-2003)/1)^3/6,IF($F19&lt;=2005,2/3-((($F19-2003)/1)-2)^2-0.5*((($F19-2003)/1)-2)^3,IF($F19&lt;=2006,2/3-((($F19-2003)/1)-2)^2+0.5*((($F19-2003)/1)-2)^3,IF($F19&lt;=2007,(4-(($F19-2003)/1))^3/6,0)))))</f>
        <v>0</v>
      </c>
      <c r="W19" s="16">
        <f>IF($F19&lt;=2004,0,IF($F19&lt;=2005,(($F19-2004)/1)^3/6,IF($F19&lt;=2006,2/3-((($F19-2004)/1)-2)^2-0.5*((($F19-2004)/1)-2)^3,IF($F19&lt;=2007,2/3-((($F19-2004)/1)-2)^2+0.5*((($F19-2004)/1)-2)^3,IF($F19&lt;=2008,(4-(($F19-2004)/1))^3/6,0)))))</f>
        <v>0.16666666666666699</v>
      </c>
      <c r="X19" s="16">
        <f>IF($F19&lt;=2005,0,IF($F19&lt;=2006,(($F19-2005)/1)^3/6,IF($F19&lt;=2007,2/3-((($F19-2005)/1)-2)^2-0.5*((($F19-2005)/1)-2)^3,IF($F19&lt;=2008,2/3-((($F19-2005)/1)-2)^2+0.5*((($F19-2005)/1)-2)^3,IF($F19&lt;=2009,(4-(($F19-2005)/1))^3/6,0)))))</f>
        <v>0.66666666666666696</v>
      </c>
      <c r="Y19" s="16">
        <f>IF($F19&lt;=2006,0,IF($F19&lt;=2007,(($F19-2006)/1)^3/6,IF($F19&lt;=2008,2/3-((($F19-2006)/1)-2)^2-0.5*((($F19-2006)/1)-2)^3,IF($F19&lt;=2009,2/3-((($F19-2006)/1)-2)^2+0.5*((($F19-2006)/1)-2)^3,IF($F19&lt;=2010,(4-(($F19-2006)/1))^3/6,0)))))</f>
        <v>0.16666666666666699</v>
      </c>
      <c r="Z19" s="16">
        <f>IF($F19&lt;=2007,0,IF($F19&lt;=2008,(($F19-2007)/1)^3/6,IF($F19&lt;=2009,2/3-((($F19-2007)/1)-2)^2-0.5*((($F19-2007)/1)-2)^3,IF($F19&lt;=2010,2/3-((($F19-2007)/1)-2)^2+0.5*((($F19-2007)/1)-2)^3,IF($F19&lt;=2011,(4-(($F19-2007)/1))^3/6,0)))))</f>
        <v>0</v>
      </c>
      <c r="AA19" s="16">
        <f>IF($F19&lt;=2008,0,IF($F19&lt;=2009,(($F19-2008)/1)^3/6,IF($F19&lt;=2010,2/3-((($F19-2008)/1)-2)^2-0.5*((($F19-2008)/1)-2)^3,IF($F19&lt;=2011,2/3-((($F19-2008)/1)-2)^2+0.5*((($F19-2008)/1)-2)^3,IF($F19&lt;=2012,(4-(($F19-2008)/1))^3/6,0)))))</f>
        <v>0</v>
      </c>
      <c r="AB19" s="16">
        <f>IF($F19&lt;=2009,0,IF($F19&lt;=2010,(($F19-2009)/1)^3/6,IF($F19&lt;=2011,2/3-((($F19-2009)/1)-2)^2-0.5*((($F19-2009)/1)-2)^3,IF($F19&lt;=2012,2/3-((($F19-2009)/1)-2)^2+0.5*((($F19-2009)/1)-2)^3,IF($F19&lt;=2013,(4-(($F19-2009)/1))^3/6,0)))))</f>
        <v>0</v>
      </c>
      <c r="AC19" s="16">
        <f>IF($F19&lt;=2010,0,IF($F19&lt;=2011,(($F19-2010)/1)^3/6,IF($F19&lt;=2012,2/3-((($F19-2010)/1)-2)^2-0.5*((($F19-2010)/1)-2)^3,IF($F19&lt;=2013,2/3-((($F19-2010)/1)-2)^2+0.5*((($F19-2010)/1)-2)^3,IF($F19&lt;=2014,(4-(($F19-2010)/1))^3/6,0)))))</f>
        <v>0</v>
      </c>
      <c r="AD19" s="16">
        <f>IF($F19&lt;=2011,0,IF($F19&lt;=2012,(($F19-2011)/1)^3/6,IF($F19&lt;=2013,2/3-((($F19-2011)/1)-2)^2-0.5*((($F19-2011)/1)-2)^3,IF($F19&lt;=2014,2/3-((($F19-2011)/1)-2)^2+0.5*((($F19-2011)/1)-2)^3,IF($F19&lt;=2015,(4-(($F19-2011)/1))^3/6,0)))))</f>
        <v>0</v>
      </c>
      <c r="AE19" s="16">
        <f>IF($F19&lt;=2012,0,IF($F19&lt;=2013,(($F19-2012)/1)^3/6,IF($F19&lt;=2014,2/3-((($F19-2012)/1)-2)^2-0.5*((($F19-2012)/1)-2)^3,IF($F19&lt;=2015,2/3-((($F19-2012)/1)-2)^2+0.5*((($F19-2012)/1)-2)^3,IF($F19&lt;=2016,(4-(($F19-2012)/1))^3/6,0)))))</f>
        <v>0</v>
      </c>
      <c r="AF19" s="16">
        <f>IF($F19&lt;=2013,0,IF($F19&lt;=2014,(($F19-2013)/1)^3/6,IF($F19&lt;=2015,2/3-((($F19-2013)/1)-2)^2-0.5*((($F19-2013)/1)-2)^3,IF($F19&lt;=2016,2/3-((($F19-2013)/1)-2)^2+0.5*((($F19-2013)/1)-2)^3,IF($F19&lt;=2017,(4-(($F19-2013)/1))^3/6,0)))))</f>
        <v>0</v>
      </c>
      <c r="AG19" s="16">
        <f>IF($F19&lt;=2014,0,IF($F19&lt;=2015,(($F19-2014)/1)^3/6,IF($F19&lt;=2016,2/3-((($F19-2014)/1)-2)^2-0.5*((($F19-2014)/1)-2)^3,IF($F19&lt;=2017,2/3-((($F19-2014)/1)-2)^2+0.5*((($F19-2014)/1)-2)^3,IF($F19&lt;=2018,(4-(($F19-2014)/1))^3/6,0)))))</f>
        <v>0</v>
      </c>
      <c r="AH19" s="16">
        <f>IF($F19&lt;=2015,0,IF($F19&lt;=2016,(($F19-2015)/1)^3/6,IF($F19&lt;=2017,2/3-((($F19-2015)/1)-2)^2-0.5*((($F19-2015)/1)-2)^3,IF($F19&lt;=2018,2/3-((($F19-2015)/1)-2)^2+0.5*((($F19-2015)/1)-2)^3,IF($F19&lt;=2019,(4-(($F19-2015)/1))^3/6,0)))))</f>
        <v>0</v>
      </c>
      <c r="AI19" s="16">
        <f>IF($F19&lt;=2016,0,IF($F19&lt;=2017,(($F19-2016)/1)^3/6,IF($F19&lt;=2018,2/3-((($F19-2016)/1)-2)^2-0.5*((($F19-2016)/1)-2)^3,IF($F19&lt;=2019,2/3-((($F19-2016)/1)-2)^2+0.5*((($F19-2016)/1)-2)^3,IF($F19&lt;=2020,(4-(($F19-2016)/1))^3/6,0)))))</f>
        <v>0</v>
      </c>
      <c r="AJ19" s="16">
        <f>IF($F19&lt;=2017,0,IF($F19&lt;=2018,(($F19-2017)/1)^3/6,IF($F19&lt;=2019,2/3-((($F19-2017)/1)-2)^2-0.5*((($F19-2017)/1)-2)^3,IF($F19&lt;=2020,2/3-((($F19-2017)/1)-2)^2+0.5*((($F19-2017)/1)-2)^3,IF($F19&lt;=2021,(4-(($F19-2017)/1))^3/6,0)))))</f>
        <v>0</v>
      </c>
      <c r="AK19" s="16">
        <f>IF($F19&lt;=2018,0,IF($F19&lt;=2019,(($F19-2018)/1)^3/6,IF($F19&lt;=2020,2/3-((($F19-2018)/1)-2)^2-0.5*((($F19-2018)/1)-2)^3,IF($F19&lt;=2021,2/3-((($F19-2018)/1)-2)^2+0.5*((($F19-2018)/1)-2)^3,IF($F19&lt;=2022,(4-(($F19-2018)/1))^3/6,0)))))</f>
        <v>0</v>
      </c>
    </row>
    <row r="20">
      <c r="A20" s="18" t="n">
        <v>2005</v>
      </c>
      <c r="B20" s="16">
        <f>2*B19-B18</f>
        <v>-7.5192924427804897</v>
      </c>
      <c r="C20" s="16">
        <f>B20-B19</f>
        <v>-0.040855414788505399</v>
      </c>
      <c r="D20" s="16">
        <f>C20-C19</f>
        <v>0</v>
      </c>
      <c r="F20" s="18" t="n">
        <v>2008</v>
      </c>
      <c r="G20" s="16">
        <f>'M_70_t'!B15</f>
        <v>0.00056619807714629496</v>
      </c>
      <c r="H20" s="16">
        <f>SUMPRODUCT(K20:AK20,$K$5:$AK$5)</f>
        <v>-7.5601478575690004</v>
      </c>
      <c r="I20" s="16">
        <f>EXP(H20)</f>
        <v>0.00052079823423107198</v>
      </c>
      <c r="J20" s="15" t="inlineStr">
        <is>
          <t>Projected</t>
        </is>
      </c>
      <c r="K20" s="16">
        <f>IF($F20&lt;=1992,0,IF($F20&lt;=1993,(($F20-1992)/1)^3/6,IF($F20&lt;=1994,2/3-((($F20-1992)/1)-2)^2-0.5*((($F20-1992)/1)-2)^3,IF($F20&lt;=1995,2/3-((($F20-1992)/1)-2)^2+0.5*((($F20-1992)/1)-2)^3,IF($F20&lt;=1996,(4-(($F20-1992)/1))^3/6,0)))))</f>
        <v>0</v>
      </c>
      <c r="L20" s="16">
        <f>IF($F20&lt;=1993,0,IF($F20&lt;=1994,(($F20-1993)/1)^3/6,IF($F20&lt;=1995,2/3-((($F20-1993)/1)-2)^2-0.5*((($F20-1993)/1)-2)^3,IF($F20&lt;=1996,2/3-((($F20-1993)/1)-2)^2+0.5*((($F20-1993)/1)-2)^3,IF($F20&lt;=1997,(4-(($F20-1993)/1))^3/6,0)))))</f>
        <v>0</v>
      </c>
      <c r="M20" s="16">
        <f>IF($F20&lt;=1994,0,IF($F20&lt;=1995,(($F20-1994)/1)^3/6,IF($F20&lt;=1996,2/3-((($F20-1994)/1)-2)^2-0.5*((($F20-1994)/1)-2)^3,IF($F20&lt;=1997,2/3-((($F20-1994)/1)-2)^2+0.5*((($F20-1994)/1)-2)^3,IF($F20&lt;=1998,(4-(($F20-1994)/1))^3/6,0)))))</f>
        <v>0</v>
      </c>
      <c r="N20" s="16">
        <f>IF($F20&lt;=1995,0,IF($F20&lt;=1996,(($F20-1995)/1)^3/6,IF($F20&lt;=1997,2/3-((($F20-1995)/1)-2)^2-0.5*((($F20-1995)/1)-2)^3,IF($F20&lt;=1998,2/3-((($F20-1995)/1)-2)^2+0.5*((($F20-1995)/1)-2)^3,IF($F20&lt;=1999,(4-(($F20-1995)/1))^3/6,0)))))</f>
        <v>0</v>
      </c>
      <c r="O20" s="16">
        <f>IF($F20&lt;=1996,0,IF($F20&lt;=1997,(($F20-1996)/1)^3/6,IF($F20&lt;=1998,2/3-((($F20-1996)/1)-2)^2-0.5*((($F20-1996)/1)-2)^3,IF($F20&lt;=1999,2/3-((($F20-1996)/1)-2)^2+0.5*((($F20-1996)/1)-2)^3,IF($F20&lt;=2000,(4-(($F20-1996)/1))^3/6,0)))))</f>
        <v>0</v>
      </c>
      <c r="P20" s="16">
        <f>IF($F20&lt;=1997,0,IF($F20&lt;=1998,(($F20-1997)/1)^3/6,IF($F20&lt;=1999,2/3-((($F20-1997)/1)-2)^2-0.5*((($F20-1997)/1)-2)^3,IF($F20&lt;=2000,2/3-((($F20-1997)/1)-2)^2+0.5*((($F20-1997)/1)-2)^3,IF($F20&lt;=2001,(4-(($F20-1997)/1))^3/6,0)))))</f>
        <v>0</v>
      </c>
      <c r="Q20" s="16">
        <f>IF($F20&lt;=1998,0,IF($F20&lt;=1999,(($F20-1998)/1)^3/6,IF($F20&lt;=2000,2/3-((($F20-1998)/1)-2)^2-0.5*((($F20-1998)/1)-2)^3,IF($F20&lt;=2001,2/3-((($F20-1998)/1)-2)^2+0.5*((($F20-1998)/1)-2)^3,IF($F20&lt;=2002,(4-(($F20-1998)/1))^3/6,0)))))</f>
        <v>0</v>
      </c>
      <c r="R20" s="16">
        <f>IF($F20&lt;=1999,0,IF($F20&lt;=2000,(($F20-1999)/1)^3/6,IF($F20&lt;=2001,2/3-((($F20-1999)/1)-2)^2-0.5*((($F20-1999)/1)-2)^3,IF($F20&lt;=2002,2/3-((($F20-1999)/1)-2)^2+0.5*((($F20-1999)/1)-2)^3,IF($F20&lt;=2003,(4-(($F20-1999)/1))^3/6,0)))))</f>
        <v>0</v>
      </c>
      <c r="S20" s="16">
        <f>IF($F20&lt;=2000,0,IF($F20&lt;=2001,(($F20-2000)/1)^3/6,IF($F20&lt;=2002,2/3-((($F20-2000)/1)-2)^2-0.5*((($F20-2000)/1)-2)^3,IF($F20&lt;=2003,2/3-((($F20-2000)/1)-2)^2+0.5*((($F20-2000)/1)-2)^3,IF($F20&lt;=2004,(4-(($F20-2000)/1))^3/6,0)))))</f>
        <v>0</v>
      </c>
      <c r="T20" s="16">
        <f>IF($F20&lt;=2001,0,IF($F20&lt;=2002,(($F20-2001)/1)^3/6,IF($F20&lt;=2003,2/3-((($F20-2001)/1)-2)^2-0.5*((($F20-2001)/1)-2)^3,IF($F20&lt;=2004,2/3-((($F20-2001)/1)-2)^2+0.5*((($F20-2001)/1)-2)^3,IF($F20&lt;=2005,(4-(($F20-2001)/1))^3/6,0)))))</f>
        <v>0</v>
      </c>
      <c r="U20" s="16">
        <f>IF($F20&lt;=2002,0,IF($F20&lt;=2003,(($F20-2002)/1)^3/6,IF($F20&lt;=2004,2/3-((($F20-2002)/1)-2)^2-0.5*((($F20-2002)/1)-2)^3,IF($F20&lt;=2005,2/3-((($F20-2002)/1)-2)^2+0.5*((($F20-2002)/1)-2)^3,IF($F20&lt;=2006,(4-(($F20-2002)/1))^3/6,0)))))</f>
        <v>0</v>
      </c>
      <c r="V20" s="16">
        <f>IF($F20&lt;=2003,0,IF($F20&lt;=2004,(($F20-2003)/1)^3/6,IF($F20&lt;=2005,2/3-((($F20-2003)/1)-2)^2-0.5*((($F20-2003)/1)-2)^3,IF($F20&lt;=2006,2/3-((($F20-2003)/1)-2)^2+0.5*((($F20-2003)/1)-2)^3,IF($F20&lt;=2007,(4-(($F20-2003)/1))^3/6,0)))))</f>
        <v>0</v>
      </c>
      <c r="W20" s="16">
        <f>IF($F20&lt;=2004,0,IF($F20&lt;=2005,(($F20-2004)/1)^3/6,IF($F20&lt;=2006,2/3-((($F20-2004)/1)-2)^2-0.5*((($F20-2004)/1)-2)^3,IF($F20&lt;=2007,2/3-((($F20-2004)/1)-2)^2+0.5*((($F20-2004)/1)-2)^3,IF($F20&lt;=2008,(4-(($F20-2004)/1))^3/6,0)))))</f>
        <v>0</v>
      </c>
      <c r="X20" s="16">
        <f>IF($F20&lt;=2005,0,IF($F20&lt;=2006,(($F20-2005)/1)^3/6,IF($F20&lt;=2007,2/3-((($F20-2005)/1)-2)^2-0.5*((($F20-2005)/1)-2)^3,IF($F20&lt;=2008,2/3-((($F20-2005)/1)-2)^2+0.5*((($F20-2005)/1)-2)^3,IF($F20&lt;=2009,(4-(($F20-2005)/1))^3/6,0)))))</f>
        <v>0.16666666666666699</v>
      </c>
      <c r="Y20" s="16">
        <f>IF($F20&lt;=2006,0,IF($F20&lt;=2007,(($F20-2006)/1)^3/6,IF($F20&lt;=2008,2/3-((($F20-2006)/1)-2)^2-0.5*((($F20-2006)/1)-2)^3,IF($F20&lt;=2009,2/3-((($F20-2006)/1)-2)^2+0.5*((($F20-2006)/1)-2)^3,IF($F20&lt;=2010,(4-(($F20-2006)/1))^3/6,0)))))</f>
        <v>0.66666666666666696</v>
      </c>
      <c r="Z20" s="16">
        <f>IF($F20&lt;=2007,0,IF($F20&lt;=2008,(($F20-2007)/1)^3/6,IF($F20&lt;=2009,2/3-((($F20-2007)/1)-2)^2-0.5*((($F20-2007)/1)-2)^3,IF($F20&lt;=2010,2/3-((($F20-2007)/1)-2)^2+0.5*((($F20-2007)/1)-2)^3,IF($F20&lt;=2011,(4-(($F20-2007)/1))^3/6,0)))))</f>
        <v>0.16666666666666699</v>
      </c>
      <c r="AA20" s="16">
        <f>IF($F20&lt;=2008,0,IF($F20&lt;=2009,(($F20-2008)/1)^3/6,IF($F20&lt;=2010,2/3-((($F20-2008)/1)-2)^2-0.5*((($F20-2008)/1)-2)^3,IF($F20&lt;=2011,2/3-((($F20-2008)/1)-2)^2+0.5*((($F20-2008)/1)-2)^3,IF($F20&lt;=2012,(4-(($F20-2008)/1))^3/6,0)))))</f>
        <v>0</v>
      </c>
      <c r="AB20" s="16">
        <f>IF($F20&lt;=2009,0,IF($F20&lt;=2010,(($F20-2009)/1)^3/6,IF($F20&lt;=2011,2/3-((($F20-2009)/1)-2)^2-0.5*((($F20-2009)/1)-2)^3,IF($F20&lt;=2012,2/3-((($F20-2009)/1)-2)^2+0.5*((($F20-2009)/1)-2)^3,IF($F20&lt;=2013,(4-(($F20-2009)/1))^3/6,0)))))</f>
        <v>0</v>
      </c>
      <c r="AC20" s="16">
        <f>IF($F20&lt;=2010,0,IF($F20&lt;=2011,(($F20-2010)/1)^3/6,IF($F20&lt;=2012,2/3-((($F20-2010)/1)-2)^2-0.5*((($F20-2010)/1)-2)^3,IF($F20&lt;=2013,2/3-((($F20-2010)/1)-2)^2+0.5*((($F20-2010)/1)-2)^3,IF($F20&lt;=2014,(4-(($F20-2010)/1))^3/6,0)))))</f>
        <v>0</v>
      </c>
      <c r="AD20" s="16">
        <f>IF($F20&lt;=2011,0,IF($F20&lt;=2012,(($F20-2011)/1)^3/6,IF($F20&lt;=2013,2/3-((($F20-2011)/1)-2)^2-0.5*((($F20-2011)/1)-2)^3,IF($F20&lt;=2014,2/3-((($F20-2011)/1)-2)^2+0.5*((($F20-2011)/1)-2)^3,IF($F20&lt;=2015,(4-(($F20-2011)/1))^3/6,0)))))</f>
        <v>0</v>
      </c>
      <c r="AE20" s="16">
        <f>IF($F20&lt;=2012,0,IF($F20&lt;=2013,(($F20-2012)/1)^3/6,IF($F20&lt;=2014,2/3-((($F20-2012)/1)-2)^2-0.5*((($F20-2012)/1)-2)^3,IF($F20&lt;=2015,2/3-((($F20-2012)/1)-2)^2+0.5*((($F20-2012)/1)-2)^3,IF($F20&lt;=2016,(4-(($F20-2012)/1))^3/6,0)))))</f>
        <v>0</v>
      </c>
      <c r="AF20" s="16">
        <f>IF($F20&lt;=2013,0,IF($F20&lt;=2014,(($F20-2013)/1)^3/6,IF($F20&lt;=2015,2/3-((($F20-2013)/1)-2)^2-0.5*((($F20-2013)/1)-2)^3,IF($F20&lt;=2016,2/3-((($F20-2013)/1)-2)^2+0.5*((($F20-2013)/1)-2)^3,IF($F20&lt;=2017,(4-(($F20-2013)/1))^3/6,0)))))</f>
        <v>0</v>
      </c>
      <c r="AG20" s="16">
        <f>IF($F20&lt;=2014,0,IF($F20&lt;=2015,(($F20-2014)/1)^3/6,IF($F20&lt;=2016,2/3-((($F20-2014)/1)-2)^2-0.5*((($F20-2014)/1)-2)^3,IF($F20&lt;=2017,2/3-((($F20-2014)/1)-2)^2+0.5*((($F20-2014)/1)-2)^3,IF($F20&lt;=2018,(4-(($F20-2014)/1))^3/6,0)))))</f>
        <v>0</v>
      </c>
      <c r="AH20" s="16">
        <f>IF($F20&lt;=2015,0,IF($F20&lt;=2016,(($F20-2015)/1)^3/6,IF($F20&lt;=2017,2/3-((($F20-2015)/1)-2)^2-0.5*((($F20-2015)/1)-2)^3,IF($F20&lt;=2018,2/3-((($F20-2015)/1)-2)^2+0.5*((($F20-2015)/1)-2)^3,IF($F20&lt;=2019,(4-(($F20-2015)/1))^3/6,0)))))</f>
        <v>0</v>
      </c>
      <c r="AI20" s="16">
        <f>IF($F20&lt;=2016,0,IF($F20&lt;=2017,(($F20-2016)/1)^3/6,IF($F20&lt;=2018,2/3-((($F20-2016)/1)-2)^2-0.5*((($F20-2016)/1)-2)^3,IF($F20&lt;=2019,2/3-((($F20-2016)/1)-2)^2+0.5*((($F20-2016)/1)-2)^3,IF($F20&lt;=2020,(4-(($F20-2016)/1))^3/6,0)))))</f>
        <v>0</v>
      </c>
      <c r="AJ20" s="16">
        <f>IF($F20&lt;=2017,0,IF($F20&lt;=2018,(($F20-2017)/1)^3/6,IF($F20&lt;=2019,2/3-((($F20-2017)/1)-2)^2-0.5*((($F20-2017)/1)-2)^3,IF($F20&lt;=2020,2/3-((($F20-2017)/1)-2)^2+0.5*((($F20-2017)/1)-2)^3,IF($F20&lt;=2021,(4-(($F20-2017)/1))^3/6,0)))))</f>
        <v>0</v>
      </c>
      <c r="AK20" s="16">
        <f>IF($F20&lt;=2018,0,IF($F20&lt;=2019,(($F20-2018)/1)^3/6,IF($F20&lt;=2020,2/3-((($F20-2018)/1)-2)^2-0.5*((($F20-2018)/1)-2)^3,IF($F20&lt;=2021,2/3-((($F20-2018)/1)-2)^2+0.5*((($F20-2018)/1)-2)^3,IF($F20&lt;=2022,(4-(($F20-2018)/1))^3/6,0)))))</f>
        <v>0</v>
      </c>
    </row>
    <row r="21">
      <c r="A21" s="18" t="n">
        <v>2006</v>
      </c>
      <c r="B21" s="16">
        <f>2*B20-B19</f>
        <v>-7.5601478575690004</v>
      </c>
      <c r="C21" s="16">
        <f>B21-B20</f>
        <v>-0.040855414788505399</v>
      </c>
      <c r="D21" s="16">
        <f>C21-C20</f>
        <v>0</v>
      </c>
      <c r="F21" s="18" t="n">
        <v>2009</v>
      </c>
      <c r="G21" s="16">
        <f>'M_70_t'!B16</f>
        <v>0.00054060671904999295</v>
      </c>
      <c r="H21" s="16">
        <f>SUMPRODUCT(K21:AK21,$K$5:$AK$5)</f>
        <v>-7.6010032723574996</v>
      </c>
      <c r="I21" s="16">
        <f>EXP(H21)</f>
        <v>0.00049994959613301195</v>
      </c>
      <c r="J21" s="15" t="inlineStr">
        <is>
          <t>Projected</t>
        </is>
      </c>
      <c r="K21" s="16">
        <f>IF($F21&lt;=1992,0,IF($F21&lt;=1993,(($F21-1992)/1)^3/6,IF($F21&lt;=1994,2/3-((($F21-1992)/1)-2)^2-0.5*((($F21-1992)/1)-2)^3,IF($F21&lt;=1995,2/3-((($F21-1992)/1)-2)^2+0.5*((($F21-1992)/1)-2)^3,IF($F21&lt;=1996,(4-(($F21-1992)/1))^3/6,0)))))</f>
        <v>0</v>
      </c>
      <c r="L21" s="16">
        <f>IF($F21&lt;=1993,0,IF($F21&lt;=1994,(($F21-1993)/1)^3/6,IF($F21&lt;=1995,2/3-((($F21-1993)/1)-2)^2-0.5*((($F21-1993)/1)-2)^3,IF($F21&lt;=1996,2/3-((($F21-1993)/1)-2)^2+0.5*((($F21-1993)/1)-2)^3,IF($F21&lt;=1997,(4-(($F21-1993)/1))^3/6,0)))))</f>
        <v>0</v>
      </c>
      <c r="M21" s="16">
        <f>IF($F21&lt;=1994,0,IF($F21&lt;=1995,(($F21-1994)/1)^3/6,IF($F21&lt;=1996,2/3-((($F21-1994)/1)-2)^2-0.5*((($F21-1994)/1)-2)^3,IF($F21&lt;=1997,2/3-((($F21-1994)/1)-2)^2+0.5*((($F21-1994)/1)-2)^3,IF($F21&lt;=1998,(4-(($F21-1994)/1))^3/6,0)))))</f>
        <v>0</v>
      </c>
      <c r="N21" s="16">
        <f>IF($F21&lt;=1995,0,IF($F21&lt;=1996,(($F21-1995)/1)^3/6,IF($F21&lt;=1997,2/3-((($F21-1995)/1)-2)^2-0.5*((($F21-1995)/1)-2)^3,IF($F21&lt;=1998,2/3-((($F21-1995)/1)-2)^2+0.5*((($F21-1995)/1)-2)^3,IF($F21&lt;=1999,(4-(($F21-1995)/1))^3/6,0)))))</f>
        <v>0</v>
      </c>
      <c r="O21" s="16">
        <f>IF($F21&lt;=1996,0,IF($F21&lt;=1997,(($F21-1996)/1)^3/6,IF($F21&lt;=1998,2/3-((($F21-1996)/1)-2)^2-0.5*((($F21-1996)/1)-2)^3,IF($F21&lt;=1999,2/3-((($F21-1996)/1)-2)^2+0.5*((($F21-1996)/1)-2)^3,IF($F21&lt;=2000,(4-(($F21-1996)/1))^3/6,0)))))</f>
        <v>0</v>
      </c>
      <c r="P21" s="16">
        <f>IF($F21&lt;=1997,0,IF($F21&lt;=1998,(($F21-1997)/1)^3/6,IF($F21&lt;=1999,2/3-((($F21-1997)/1)-2)^2-0.5*((($F21-1997)/1)-2)^3,IF($F21&lt;=2000,2/3-((($F21-1997)/1)-2)^2+0.5*((($F21-1997)/1)-2)^3,IF($F21&lt;=2001,(4-(($F21-1997)/1))^3/6,0)))))</f>
        <v>0</v>
      </c>
      <c r="Q21" s="16">
        <f>IF($F21&lt;=1998,0,IF($F21&lt;=1999,(($F21-1998)/1)^3/6,IF($F21&lt;=2000,2/3-((($F21-1998)/1)-2)^2-0.5*((($F21-1998)/1)-2)^3,IF($F21&lt;=2001,2/3-((($F21-1998)/1)-2)^2+0.5*((($F21-1998)/1)-2)^3,IF($F21&lt;=2002,(4-(($F21-1998)/1))^3/6,0)))))</f>
        <v>0</v>
      </c>
      <c r="R21" s="16">
        <f>IF($F21&lt;=1999,0,IF($F21&lt;=2000,(($F21-1999)/1)^3/6,IF($F21&lt;=2001,2/3-((($F21-1999)/1)-2)^2-0.5*((($F21-1999)/1)-2)^3,IF($F21&lt;=2002,2/3-((($F21-1999)/1)-2)^2+0.5*((($F21-1999)/1)-2)^3,IF($F21&lt;=2003,(4-(($F21-1999)/1))^3/6,0)))))</f>
        <v>0</v>
      </c>
      <c r="S21" s="16">
        <f>IF($F21&lt;=2000,0,IF($F21&lt;=2001,(($F21-2000)/1)^3/6,IF($F21&lt;=2002,2/3-((($F21-2000)/1)-2)^2-0.5*((($F21-2000)/1)-2)^3,IF($F21&lt;=2003,2/3-((($F21-2000)/1)-2)^2+0.5*((($F21-2000)/1)-2)^3,IF($F21&lt;=2004,(4-(($F21-2000)/1))^3/6,0)))))</f>
        <v>0</v>
      </c>
      <c r="T21" s="16">
        <f>IF($F21&lt;=2001,0,IF($F21&lt;=2002,(($F21-2001)/1)^3/6,IF($F21&lt;=2003,2/3-((($F21-2001)/1)-2)^2-0.5*((($F21-2001)/1)-2)^3,IF($F21&lt;=2004,2/3-((($F21-2001)/1)-2)^2+0.5*((($F21-2001)/1)-2)^3,IF($F21&lt;=2005,(4-(($F21-2001)/1))^3/6,0)))))</f>
        <v>0</v>
      </c>
      <c r="U21" s="16">
        <f>IF($F21&lt;=2002,0,IF($F21&lt;=2003,(($F21-2002)/1)^3/6,IF($F21&lt;=2004,2/3-((($F21-2002)/1)-2)^2-0.5*((($F21-2002)/1)-2)^3,IF($F21&lt;=2005,2/3-((($F21-2002)/1)-2)^2+0.5*((($F21-2002)/1)-2)^3,IF($F21&lt;=2006,(4-(($F21-2002)/1))^3/6,0)))))</f>
        <v>0</v>
      </c>
      <c r="V21" s="16">
        <f>IF($F21&lt;=2003,0,IF($F21&lt;=2004,(($F21-2003)/1)^3/6,IF($F21&lt;=2005,2/3-((($F21-2003)/1)-2)^2-0.5*((($F21-2003)/1)-2)^3,IF($F21&lt;=2006,2/3-((($F21-2003)/1)-2)^2+0.5*((($F21-2003)/1)-2)^3,IF($F21&lt;=2007,(4-(($F21-2003)/1))^3/6,0)))))</f>
        <v>0</v>
      </c>
      <c r="W21" s="16">
        <f>IF($F21&lt;=2004,0,IF($F21&lt;=2005,(($F21-2004)/1)^3/6,IF($F21&lt;=2006,2/3-((($F21-2004)/1)-2)^2-0.5*((($F21-2004)/1)-2)^3,IF($F21&lt;=2007,2/3-((($F21-2004)/1)-2)^2+0.5*((($F21-2004)/1)-2)^3,IF($F21&lt;=2008,(4-(($F21-2004)/1))^3/6,0)))))</f>
        <v>0</v>
      </c>
      <c r="X21" s="16">
        <f>IF($F21&lt;=2005,0,IF($F21&lt;=2006,(($F21-2005)/1)^3/6,IF($F21&lt;=2007,2/3-((($F21-2005)/1)-2)^2-0.5*((($F21-2005)/1)-2)^3,IF($F21&lt;=2008,2/3-((($F21-2005)/1)-2)^2+0.5*((($F21-2005)/1)-2)^3,IF($F21&lt;=2009,(4-(($F21-2005)/1))^3/6,0)))))</f>
        <v>0</v>
      </c>
      <c r="Y21" s="16">
        <f>IF($F21&lt;=2006,0,IF($F21&lt;=2007,(($F21-2006)/1)^3/6,IF($F21&lt;=2008,2/3-((($F21-2006)/1)-2)^2-0.5*((($F21-2006)/1)-2)^3,IF($F21&lt;=2009,2/3-((($F21-2006)/1)-2)^2+0.5*((($F21-2006)/1)-2)^3,IF($F21&lt;=2010,(4-(($F21-2006)/1))^3/6,0)))))</f>
        <v>0.16666666666666699</v>
      </c>
      <c r="Z21" s="16">
        <f>IF($F21&lt;=2007,0,IF($F21&lt;=2008,(($F21-2007)/1)^3/6,IF($F21&lt;=2009,2/3-((($F21-2007)/1)-2)^2-0.5*((($F21-2007)/1)-2)^3,IF($F21&lt;=2010,2/3-((($F21-2007)/1)-2)^2+0.5*((($F21-2007)/1)-2)^3,IF($F21&lt;=2011,(4-(($F21-2007)/1))^3/6,0)))))</f>
        <v>0.66666666666666696</v>
      </c>
      <c r="AA21" s="16">
        <f>IF($F21&lt;=2008,0,IF($F21&lt;=2009,(($F21-2008)/1)^3/6,IF($F21&lt;=2010,2/3-((($F21-2008)/1)-2)^2-0.5*((($F21-2008)/1)-2)^3,IF($F21&lt;=2011,2/3-((($F21-2008)/1)-2)^2+0.5*((($F21-2008)/1)-2)^3,IF($F21&lt;=2012,(4-(($F21-2008)/1))^3/6,0)))))</f>
        <v>0.16666666666666699</v>
      </c>
      <c r="AB21" s="16">
        <f>IF($F21&lt;=2009,0,IF($F21&lt;=2010,(($F21-2009)/1)^3/6,IF($F21&lt;=2011,2/3-((($F21-2009)/1)-2)^2-0.5*((($F21-2009)/1)-2)^3,IF($F21&lt;=2012,2/3-((($F21-2009)/1)-2)^2+0.5*((($F21-2009)/1)-2)^3,IF($F21&lt;=2013,(4-(($F21-2009)/1))^3/6,0)))))</f>
        <v>0</v>
      </c>
      <c r="AC21" s="16">
        <f>IF($F21&lt;=2010,0,IF($F21&lt;=2011,(($F21-2010)/1)^3/6,IF($F21&lt;=2012,2/3-((($F21-2010)/1)-2)^2-0.5*((($F21-2010)/1)-2)^3,IF($F21&lt;=2013,2/3-((($F21-2010)/1)-2)^2+0.5*((($F21-2010)/1)-2)^3,IF($F21&lt;=2014,(4-(($F21-2010)/1))^3/6,0)))))</f>
        <v>0</v>
      </c>
      <c r="AD21" s="16">
        <f>IF($F21&lt;=2011,0,IF($F21&lt;=2012,(($F21-2011)/1)^3/6,IF($F21&lt;=2013,2/3-((($F21-2011)/1)-2)^2-0.5*((($F21-2011)/1)-2)^3,IF($F21&lt;=2014,2/3-((($F21-2011)/1)-2)^2+0.5*((($F21-2011)/1)-2)^3,IF($F21&lt;=2015,(4-(($F21-2011)/1))^3/6,0)))))</f>
        <v>0</v>
      </c>
      <c r="AE21" s="16">
        <f>IF($F21&lt;=2012,0,IF($F21&lt;=2013,(($F21-2012)/1)^3/6,IF($F21&lt;=2014,2/3-((($F21-2012)/1)-2)^2-0.5*((($F21-2012)/1)-2)^3,IF($F21&lt;=2015,2/3-((($F21-2012)/1)-2)^2+0.5*((($F21-2012)/1)-2)^3,IF($F21&lt;=2016,(4-(($F21-2012)/1))^3/6,0)))))</f>
        <v>0</v>
      </c>
      <c r="AF21" s="16">
        <f>IF($F21&lt;=2013,0,IF($F21&lt;=2014,(($F21-2013)/1)^3/6,IF($F21&lt;=2015,2/3-((($F21-2013)/1)-2)^2-0.5*((($F21-2013)/1)-2)^3,IF($F21&lt;=2016,2/3-((($F21-2013)/1)-2)^2+0.5*((($F21-2013)/1)-2)^3,IF($F21&lt;=2017,(4-(($F21-2013)/1))^3/6,0)))))</f>
        <v>0</v>
      </c>
      <c r="AG21" s="16">
        <f>IF($F21&lt;=2014,0,IF($F21&lt;=2015,(($F21-2014)/1)^3/6,IF($F21&lt;=2016,2/3-((($F21-2014)/1)-2)^2-0.5*((($F21-2014)/1)-2)^3,IF($F21&lt;=2017,2/3-((($F21-2014)/1)-2)^2+0.5*((($F21-2014)/1)-2)^3,IF($F21&lt;=2018,(4-(($F21-2014)/1))^3/6,0)))))</f>
        <v>0</v>
      </c>
      <c r="AH21" s="16">
        <f>IF($F21&lt;=2015,0,IF($F21&lt;=2016,(($F21-2015)/1)^3/6,IF($F21&lt;=2017,2/3-((($F21-2015)/1)-2)^2-0.5*((($F21-2015)/1)-2)^3,IF($F21&lt;=2018,2/3-((($F21-2015)/1)-2)^2+0.5*((($F21-2015)/1)-2)^3,IF($F21&lt;=2019,(4-(($F21-2015)/1))^3/6,0)))))</f>
        <v>0</v>
      </c>
      <c r="AI21" s="16">
        <f>IF($F21&lt;=2016,0,IF($F21&lt;=2017,(($F21-2016)/1)^3/6,IF($F21&lt;=2018,2/3-((($F21-2016)/1)-2)^2-0.5*((($F21-2016)/1)-2)^3,IF($F21&lt;=2019,2/3-((($F21-2016)/1)-2)^2+0.5*((($F21-2016)/1)-2)^3,IF($F21&lt;=2020,(4-(($F21-2016)/1))^3/6,0)))))</f>
        <v>0</v>
      </c>
      <c r="AJ21" s="16">
        <f>IF($F21&lt;=2017,0,IF($F21&lt;=2018,(($F21-2017)/1)^3/6,IF($F21&lt;=2019,2/3-((($F21-2017)/1)-2)^2-0.5*((($F21-2017)/1)-2)^3,IF($F21&lt;=2020,2/3-((($F21-2017)/1)-2)^2+0.5*((($F21-2017)/1)-2)^3,IF($F21&lt;=2021,(4-(($F21-2017)/1))^3/6,0)))))</f>
        <v>0</v>
      </c>
      <c r="AK21" s="16">
        <f>IF($F21&lt;=2018,0,IF($F21&lt;=2019,(($F21-2018)/1)^3/6,IF($F21&lt;=2020,2/3-((($F21-2018)/1)-2)^2-0.5*((($F21-2018)/1)-2)^3,IF($F21&lt;=2021,2/3-((($F21-2018)/1)-2)^2+0.5*((($F21-2018)/1)-2)^3,IF($F21&lt;=2022,(4-(($F21-2018)/1))^3/6,0)))))</f>
        <v>0</v>
      </c>
    </row>
    <row r="22">
      <c r="A22" s="18" t="n">
        <v>2007</v>
      </c>
      <c r="B22" s="16">
        <f>2*B21-B20</f>
        <v>-7.6010032723574996</v>
      </c>
      <c r="C22" s="16">
        <f>B22-B21</f>
        <v>-0.040855414788505399</v>
      </c>
      <c r="D22" s="16">
        <f>C22-C21</f>
        <v>0</v>
      </c>
      <c r="F22" s="18" t="n">
        <v>2010</v>
      </c>
      <c r="G22" s="16">
        <f>'M_70_t'!B17</f>
        <v>0.000485007361502359</v>
      </c>
      <c r="H22" s="16">
        <f>SUMPRODUCT(K22:AK22,$K$5:$AK$5)</f>
        <v>-7.6418586871460104</v>
      </c>
      <c r="I22" s="16">
        <f>EXP(H22)</f>
        <v>0.00047993557244409101</v>
      </c>
      <c r="J22" s="15" t="inlineStr">
        <is>
          <t>Projected</t>
        </is>
      </c>
      <c r="K22" s="16">
        <f>IF($F22&lt;=1992,0,IF($F22&lt;=1993,(($F22-1992)/1)^3/6,IF($F22&lt;=1994,2/3-((($F22-1992)/1)-2)^2-0.5*((($F22-1992)/1)-2)^3,IF($F22&lt;=1995,2/3-((($F22-1992)/1)-2)^2+0.5*((($F22-1992)/1)-2)^3,IF($F22&lt;=1996,(4-(($F22-1992)/1))^3/6,0)))))</f>
        <v>0</v>
      </c>
      <c r="L22" s="16">
        <f>IF($F22&lt;=1993,0,IF($F22&lt;=1994,(($F22-1993)/1)^3/6,IF($F22&lt;=1995,2/3-((($F22-1993)/1)-2)^2-0.5*((($F22-1993)/1)-2)^3,IF($F22&lt;=1996,2/3-((($F22-1993)/1)-2)^2+0.5*((($F22-1993)/1)-2)^3,IF($F22&lt;=1997,(4-(($F22-1993)/1))^3/6,0)))))</f>
        <v>0</v>
      </c>
      <c r="M22" s="16">
        <f>IF($F22&lt;=1994,0,IF($F22&lt;=1995,(($F22-1994)/1)^3/6,IF($F22&lt;=1996,2/3-((($F22-1994)/1)-2)^2-0.5*((($F22-1994)/1)-2)^3,IF($F22&lt;=1997,2/3-((($F22-1994)/1)-2)^2+0.5*((($F22-1994)/1)-2)^3,IF($F22&lt;=1998,(4-(($F22-1994)/1))^3/6,0)))))</f>
        <v>0</v>
      </c>
      <c r="N22" s="16">
        <f>IF($F22&lt;=1995,0,IF($F22&lt;=1996,(($F22-1995)/1)^3/6,IF($F22&lt;=1997,2/3-((($F22-1995)/1)-2)^2-0.5*((($F22-1995)/1)-2)^3,IF($F22&lt;=1998,2/3-((($F22-1995)/1)-2)^2+0.5*((($F22-1995)/1)-2)^3,IF($F22&lt;=1999,(4-(($F22-1995)/1))^3/6,0)))))</f>
        <v>0</v>
      </c>
      <c r="O22" s="16">
        <f>IF($F22&lt;=1996,0,IF($F22&lt;=1997,(($F22-1996)/1)^3/6,IF($F22&lt;=1998,2/3-((($F22-1996)/1)-2)^2-0.5*((($F22-1996)/1)-2)^3,IF($F22&lt;=1999,2/3-((($F22-1996)/1)-2)^2+0.5*((($F22-1996)/1)-2)^3,IF($F22&lt;=2000,(4-(($F22-1996)/1))^3/6,0)))))</f>
        <v>0</v>
      </c>
      <c r="P22" s="16">
        <f>IF($F22&lt;=1997,0,IF($F22&lt;=1998,(($F22-1997)/1)^3/6,IF($F22&lt;=1999,2/3-((($F22-1997)/1)-2)^2-0.5*((($F22-1997)/1)-2)^3,IF($F22&lt;=2000,2/3-((($F22-1997)/1)-2)^2+0.5*((($F22-1997)/1)-2)^3,IF($F22&lt;=2001,(4-(($F22-1997)/1))^3/6,0)))))</f>
        <v>0</v>
      </c>
      <c r="Q22" s="16">
        <f>IF($F22&lt;=1998,0,IF($F22&lt;=1999,(($F22-1998)/1)^3/6,IF($F22&lt;=2000,2/3-((($F22-1998)/1)-2)^2-0.5*((($F22-1998)/1)-2)^3,IF($F22&lt;=2001,2/3-((($F22-1998)/1)-2)^2+0.5*((($F22-1998)/1)-2)^3,IF($F22&lt;=2002,(4-(($F22-1998)/1))^3/6,0)))))</f>
        <v>0</v>
      </c>
      <c r="R22" s="16">
        <f>IF($F22&lt;=1999,0,IF($F22&lt;=2000,(($F22-1999)/1)^3/6,IF($F22&lt;=2001,2/3-((($F22-1999)/1)-2)^2-0.5*((($F22-1999)/1)-2)^3,IF($F22&lt;=2002,2/3-((($F22-1999)/1)-2)^2+0.5*((($F22-1999)/1)-2)^3,IF($F22&lt;=2003,(4-(($F22-1999)/1))^3/6,0)))))</f>
        <v>0</v>
      </c>
      <c r="S22" s="16">
        <f>IF($F22&lt;=2000,0,IF($F22&lt;=2001,(($F22-2000)/1)^3/6,IF($F22&lt;=2002,2/3-((($F22-2000)/1)-2)^2-0.5*((($F22-2000)/1)-2)^3,IF($F22&lt;=2003,2/3-((($F22-2000)/1)-2)^2+0.5*((($F22-2000)/1)-2)^3,IF($F22&lt;=2004,(4-(($F22-2000)/1))^3/6,0)))))</f>
        <v>0</v>
      </c>
      <c r="T22" s="16">
        <f>IF($F22&lt;=2001,0,IF($F22&lt;=2002,(($F22-2001)/1)^3/6,IF($F22&lt;=2003,2/3-((($F22-2001)/1)-2)^2-0.5*((($F22-2001)/1)-2)^3,IF($F22&lt;=2004,2/3-((($F22-2001)/1)-2)^2+0.5*((($F22-2001)/1)-2)^3,IF($F22&lt;=2005,(4-(($F22-2001)/1))^3/6,0)))))</f>
        <v>0</v>
      </c>
      <c r="U22" s="16">
        <f>IF($F22&lt;=2002,0,IF($F22&lt;=2003,(($F22-2002)/1)^3/6,IF($F22&lt;=2004,2/3-((($F22-2002)/1)-2)^2-0.5*((($F22-2002)/1)-2)^3,IF($F22&lt;=2005,2/3-((($F22-2002)/1)-2)^2+0.5*((($F22-2002)/1)-2)^3,IF($F22&lt;=2006,(4-(($F22-2002)/1))^3/6,0)))))</f>
        <v>0</v>
      </c>
      <c r="V22" s="16">
        <f>IF($F22&lt;=2003,0,IF($F22&lt;=2004,(($F22-2003)/1)^3/6,IF($F22&lt;=2005,2/3-((($F22-2003)/1)-2)^2-0.5*((($F22-2003)/1)-2)^3,IF($F22&lt;=2006,2/3-((($F22-2003)/1)-2)^2+0.5*((($F22-2003)/1)-2)^3,IF($F22&lt;=2007,(4-(($F22-2003)/1))^3/6,0)))))</f>
        <v>0</v>
      </c>
      <c r="W22" s="16">
        <f>IF($F22&lt;=2004,0,IF($F22&lt;=2005,(($F22-2004)/1)^3/6,IF($F22&lt;=2006,2/3-((($F22-2004)/1)-2)^2-0.5*((($F22-2004)/1)-2)^3,IF($F22&lt;=2007,2/3-((($F22-2004)/1)-2)^2+0.5*((($F22-2004)/1)-2)^3,IF($F22&lt;=2008,(4-(($F22-2004)/1))^3/6,0)))))</f>
        <v>0</v>
      </c>
      <c r="X22" s="16">
        <f>IF($F22&lt;=2005,0,IF($F22&lt;=2006,(($F22-2005)/1)^3/6,IF($F22&lt;=2007,2/3-((($F22-2005)/1)-2)^2-0.5*((($F22-2005)/1)-2)^3,IF($F22&lt;=2008,2/3-((($F22-2005)/1)-2)^2+0.5*((($F22-2005)/1)-2)^3,IF($F22&lt;=2009,(4-(($F22-2005)/1))^3/6,0)))))</f>
        <v>0</v>
      </c>
      <c r="Y22" s="16">
        <f>IF($F22&lt;=2006,0,IF($F22&lt;=2007,(($F22-2006)/1)^3/6,IF($F22&lt;=2008,2/3-((($F22-2006)/1)-2)^2-0.5*((($F22-2006)/1)-2)^3,IF($F22&lt;=2009,2/3-((($F22-2006)/1)-2)^2+0.5*((($F22-2006)/1)-2)^3,IF($F22&lt;=2010,(4-(($F22-2006)/1))^3/6,0)))))</f>
        <v>0</v>
      </c>
      <c r="Z22" s="16">
        <f>IF($F22&lt;=2007,0,IF($F22&lt;=2008,(($F22-2007)/1)^3/6,IF($F22&lt;=2009,2/3-((($F22-2007)/1)-2)^2-0.5*((($F22-2007)/1)-2)^3,IF($F22&lt;=2010,2/3-((($F22-2007)/1)-2)^2+0.5*((($F22-2007)/1)-2)^3,IF($F22&lt;=2011,(4-(($F22-2007)/1))^3/6,0)))))</f>
        <v>0.16666666666666699</v>
      </c>
      <c r="AA22" s="16">
        <f>IF($F22&lt;=2008,0,IF($F22&lt;=2009,(($F22-2008)/1)^3/6,IF($F22&lt;=2010,2/3-((($F22-2008)/1)-2)^2-0.5*((($F22-2008)/1)-2)^3,IF($F22&lt;=2011,2/3-((($F22-2008)/1)-2)^2+0.5*((($F22-2008)/1)-2)^3,IF($F22&lt;=2012,(4-(($F22-2008)/1))^3/6,0)))))</f>
        <v>0.66666666666666696</v>
      </c>
      <c r="AB22" s="16">
        <f>IF($F22&lt;=2009,0,IF($F22&lt;=2010,(($F22-2009)/1)^3/6,IF($F22&lt;=2011,2/3-((($F22-2009)/1)-2)^2-0.5*((($F22-2009)/1)-2)^3,IF($F22&lt;=2012,2/3-((($F22-2009)/1)-2)^2+0.5*((($F22-2009)/1)-2)^3,IF($F22&lt;=2013,(4-(($F22-2009)/1))^3/6,0)))))</f>
        <v>0.16666666666666699</v>
      </c>
      <c r="AC22" s="16">
        <f>IF($F22&lt;=2010,0,IF($F22&lt;=2011,(($F22-2010)/1)^3/6,IF($F22&lt;=2012,2/3-((($F22-2010)/1)-2)^2-0.5*((($F22-2010)/1)-2)^3,IF($F22&lt;=2013,2/3-((($F22-2010)/1)-2)^2+0.5*((($F22-2010)/1)-2)^3,IF($F22&lt;=2014,(4-(($F22-2010)/1))^3/6,0)))))</f>
        <v>0</v>
      </c>
      <c r="AD22" s="16">
        <f>IF($F22&lt;=2011,0,IF($F22&lt;=2012,(($F22-2011)/1)^3/6,IF($F22&lt;=2013,2/3-((($F22-2011)/1)-2)^2-0.5*((($F22-2011)/1)-2)^3,IF($F22&lt;=2014,2/3-((($F22-2011)/1)-2)^2+0.5*((($F22-2011)/1)-2)^3,IF($F22&lt;=2015,(4-(($F22-2011)/1))^3/6,0)))))</f>
        <v>0</v>
      </c>
      <c r="AE22" s="16">
        <f>IF($F22&lt;=2012,0,IF($F22&lt;=2013,(($F22-2012)/1)^3/6,IF($F22&lt;=2014,2/3-((($F22-2012)/1)-2)^2-0.5*((($F22-2012)/1)-2)^3,IF($F22&lt;=2015,2/3-((($F22-2012)/1)-2)^2+0.5*((($F22-2012)/1)-2)^3,IF($F22&lt;=2016,(4-(($F22-2012)/1))^3/6,0)))))</f>
        <v>0</v>
      </c>
      <c r="AF22" s="16">
        <f>IF($F22&lt;=2013,0,IF($F22&lt;=2014,(($F22-2013)/1)^3/6,IF($F22&lt;=2015,2/3-((($F22-2013)/1)-2)^2-0.5*((($F22-2013)/1)-2)^3,IF($F22&lt;=2016,2/3-((($F22-2013)/1)-2)^2+0.5*((($F22-2013)/1)-2)^3,IF($F22&lt;=2017,(4-(($F22-2013)/1))^3/6,0)))))</f>
        <v>0</v>
      </c>
      <c r="AG22" s="16">
        <f>IF($F22&lt;=2014,0,IF($F22&lt;=2015,(($F22-2014)/1)^3/6,IF($F22&lt;=2016,2/3-((($F22-2014)/1)-2)^2-0.5*((($F22-2014)/1)-2)^3,IF($F22&lt;=2017,2/3-((($F22-2014)/1)-2)^2+0.5*((($F22-2014)/1)-2)^3,IF($F22&lt;=2018,(4-(($F22-2014)/1))^3/6,0)))))</f>
        <v>0</v>
      </c>
      <c r="AH22" s="16">
        <f>IF($F22&lt;=2015,0,IF($F22&lt;=2016,(($F22-2015)/1)^3/6,IF($F22&lt;=2017,2/3-((($F22-2015)/1)-2)^2-0.5*((($F22-2015)/1)-2)^3,IF($F22&lt;=2018,2/3-((($F22-2015)/1)-2)^2+0.5*((($F22-2015)/1)-2)^3,IF($F22&lt;=2019,(4-(($F22-2015)/1))^3/6,0)))))</f>
        <v>0</v>
      </c>
      <c r="AI22" s="16">
        <f>IF($F22&lt;=2016,0,IF($F22&lt;=2017,(($F22-2016)/1)^3/6,IF($F22&lt;=2018,2/3-((($F22-2016)/1)-2)^2-0.5*((($F22-2016)/1)-2)^3,IF($F22&lt;=2019,2/3-((($F22-2016)/1)-2)^2+0.5*((($F22-2016)/1)-2)^3,IF($F22&lt;=2020,(4-(($F22-2016)/1))^3/6,0)))))</f>
        <v>0</v>
      </c>
      <c r="AJ22" s="16">
        <f>IF($F22&lt;=2017,0,IF($F22&lt;=2018,(($F22-2017)/1)^3/6,IF($F22&lt;=2019,2/3-((($F22-2017)/1)-2)^2-0.5*((($F22-2017)/1)-2)^3,IF($F22&lt;=2020,2/3-((($F22-2017)/1)-2)^2+0.5*((($F22-2017)/1)-2)^3,IF($F22&lt;=2021,(4-(($F22-2017)/1))^3/6,0)))))</f>
        <v>0</v>
      </c>
      <c r="AK22" s="16">
        <f>IF($F22&lt;=2018,0,IF($F22&lt;=2019,(($F22-2018)/1)^3/6,IF($F22&lt;=2020,2/3-((($F22-2018)/1)-2)^2-0.5*((($F22-2018)/1)-2)^3,IF($F22&lt;=2021,2/3-((($F22-2018)/1)-2)^2+0.5*((($F22-2018)/1)-2)^3,IF($F22&lt;=2022,(4-(($F22-2018)/1))^3/6,0)))))</f>
        <v>0</v>
      </c>
    </row>
    <row r="23">
      <c r="A23" s="18" t="n">
        <v>2008</v>
      </c>
      <c r="B23" s="16">
        <f>2*B22-B21</f>
        <v>-7.6418586871460104</v>
      </c>
      <c r="C23" s="16">
        <f>B23-B22</f>
        <v>-0.040855414788505399</v>
      </c>
      <c r="D23" s="16">
        <f>C23-C22</f>
        <v>0</v>
      </c>
      <c r="F23" s="18" t="n">
        <v>2011</v>
      </c>
      <c r="G23" s="16">
        <f>'M_70_t'!B18</f>
        <v>0.00052495861425407497</v>
      </c>
      <c r="H23" s="16">
        <f>SUMPRODUCT(K23:AK23,$K$5:$AK$5)</f>
        <v>-7.6827141019345104</v>
      </c>
      <c r="I23" s="16">
        <f>EXP(H23)</f>
        <v>0.00046072275181107601</v>
      </c>
      <c r="J23" s="15" t="inlineStr">
        <is>
          <t>Projected</t>
        </is>
      </c>
      <c r="K23" s="16">
        <f>IF($F23&lt;=1992,0,IF($F23&lt;=1993,(($F23-1992)/1)^3/6,IF($F23&lt;=1994,2/3-((($F23-1992)/1)-2)^2-0.5*((($F23-1992)/1)-2)^3,IF($F23&lt;=1995,2/3-((($F23-1992)/1)-2)^2+0.5*((($F23-1992)/1)-2)^3,IF($F23&lt;=1996,(4-(($F23-1992)/1))^3/6,0)))))</f>
        <v>0</v>
      </c>
      <c r="L23" s="16">
        <f>IF($F23&lt;=1993,0,IF($F23&lt;=1994,(($F23-1993)/1)^3/6,IF($F23&lt;=1995,2/3-((($F23-1993)/1)-2)^2-0.5*((($F23-1993)/1)-2)^3,IF($F23&lt;=1996,2/3-((($F23-1993)/1)-2)^2+0.5*((($F23-1993)/1)-2)^3,IF($F23&lt;=1997,(4-(($F23-1993)/1))^3/6,0)))))</f>
        <v>0</v>
      </c>
      <c r="M23" s="16">
        <f>IF($F23&lt;=1994,0,IF($F23&lt;=1995,(($F23-1994)/1)^3/6,IF($F23&lt;=1996,2/3-((($F23-1994)/1)-2)^2-0.5*((($F23-1994)/1)-2)^3,IF($F23&lt;=1997,2/3-((($F23-1994)/1)-2)^2+0.5*((($F23-1994)/1)-2)^3,IF($F23&lt;=1998,(4-(($F23-1994)/1))^3/6,0)))))</f>
        <v>0</v>
      </c>
      <c r="N23" s="16">
        <f>IF($F23&lt;=1995,0,IF($F23&lt;=1996,(($F23-1995)/1)^3/6,IF($F23&lt;=1997,2/3-((($F23-1995)/1)-2)^2-0.5*((($F23-1995)/1)-2)^3,IF($F23&lt;=1998,2/3-((($F23-1995)/1)-2)^2+0.5*((($F23-1995)/1)-2)^3,IF($F23&lt;=1999,(4-(($F23-1995)/1))^3/6,0)))))</f>
        <v>0</v>
      </c>
      <c r="O23" s="16">
        <f>IF($F23&lt;=1996,0,IF($F23&lt;=1997,(($F23-1996)/1)^3/6,IF($F23&lt;=1998,2/3-((($F23-1996)/1)-2)^2-0.5*((($F23-1996)/1)-2)^3,IF($F23&lt;=1999,2/3-((($F23-1996)/1)-2)^2+0.5*((($F23-1996)/1)-2)^3,IF($F23&lt;=2000,(4-(($F23-1996)/1))^3/6,0)))))</f>
        <v>0</v>
      </c>
      <c r="P23" s="16">
        <f>IF($F23&lt;=1997,0,IF($F23&lt;=1998,(($F23-1997)/1)^3/6,IF($F23&lt;=1999,2/3-((($F23-1997)/1)-2)^2-0.5*((($F23-1997)/1)-2)^3,IF($F23&lt;=2000,2/3-((($F23-1997)/1)-2)^2+0.5*((($F23-1997)/1)-2)^3,IF($F23&lt;=2001,(4-(($F23-1997)/1))^3/6,0)))))</f>
        <v>0</v>
      </c>
      <c r="Q23" s="16">
        <f>IF($F23&lt;=1998,0,IF($F23&lt;=1999,(($F23-1998)/1)^3/6,IF($F23&lt;=2000,2/3-((($F23-1998)/1)-2)^2-0.5*((($F23-1998)/1)-2)^3,IF($F23&lt;=2001,2/3-((($F23-1998)/1)-2)^2+0.5*((($F23-1998)/1)-2)^3,IF($F23&lt;=2002,(4-(($F23-1998)/1))^3/6,0)))))</f>
        <v>0</v>
      </c>
      <c r="R23" s="16">
        <f>IF($F23&lt;=1999,0,IF($F23&lt;=2000,(($F23-1999)/1)^3/6,IF($F23&lt;=2001,2/3-((($F23-1999)/1)-2)^2-0.5*((($F23-1999)/1)-2)^3,IF($F23&lt;=2002,2/3-((($F23-1999)/1)-2)^2+0.5*((($F23-1999)/1)-2)^3,IF($F23&lt;=2003,(4-(($F23-1999)/1))^3/6,0)))))</f>
        <v>0</v>
      </c>
      <c r="S23" s="16">
        <f>IF($F23&lt;=2000,0,IF($F23&lt;=2001,(($F23-2000)/1)^3/6,IF($F23&lt;=2002,2/3-((($F23-2000)/1)-2)^2-0.5*((($F23-2000)/1)-2)^3,IF($F23&lt;=2003,2/3-((($F23-2000)/1)-2)^2+0.5*((($F23-2000)/1)-2)^3,IF($F23&lt;=2004,(4-(($F23-2000)/1))^3/6,0)))))</f>
        <v>0</v>
      </c>
      <c r="T23" s="16">
        <f>IF($F23&lt;=2001,0,IF($F23&lt;=2002,(($F23-2001)/1)^3/6,IF($F23&lt;=2003,2/3-((($F23-2001)/1)-2)^2-0.5*((($F23-2001)/1)-2)^3,IF($F23&lt;=2004,2/3-((($F23-2001)/1)-2)^2+0.5*((($F23-2001)/1)-2)^3,IF($F23&lt;=2005,(4-(($F23-2001)/1))^3/6,0)))))</f>
        <v>0</v>
      </c>
      <c r="U23" s="16">
        <f>IF($F23&lt;=2002,0,IF($F23&lt;=2003,(($F23-2002)/1)^3/6,IF($F23&lt;=2004,2/3-((($F23-2002)/1)-2)^2-0.5*((($F23-2002)/1)-2)^3,IF($F23&lt;=2005,2/3-((($F23-2002)/1)-2)^2+0.5*((($F23-2002)/1)-2)^3,IF($F23&lt;=2006,(4-(($F23-2002)/1))^3/6,0)))))</f>
        <v>0</v>
      </c>
      <c r="V23" s="16">
        <f>IF($F23&lt;=2003,0,IF($F23&lt;=2004,(($F23-2003)/1)^3/6,IF($F23&lt;=2005,2/3-((($F23-2003)/1)-2)^2-0.5*((($F23-2003)/1)-2)^3,IF($F23&lt;=2006,2/3-((($F23-2003)/1)-2)^2+0.5*((($F23-2003)/1)-2)^3,IF($F23&lt;=2007,(4-(($F23-2003)/1))^3/6,0)))))</f>
        <v>0</v>
      </c>
      <c r="W23" s="16">
        <f>IF($F23&lt;=2004,0,IF($F23&lt;=2005,(($F23-2004)/1)^3/6,IF($F23&lt;=2006,2/3-((($F23-2004)/1)-2)^2-0.5*((($F23-2004)/1)-2)^3,IF($F23&lt;=2007,2/3-((($F23-2004)/1)-2)^2+0.5*((($F23-2004)/1)-2)^3,IF($F23&lt;=2008,(4-(($F23-2004)/1))^3/6,0)))))</f>
        <v>0</v>
      </c>
      <c r="X23" s="16">
        <f>IF($F23&lt;=2005,0,IF($F23&lt;=2006,(($F23-2005)/1)^3/6,IF($F23&lt;=2007,2/3-((($F23-2005)/1)-2)^2-0.5*((($F23-2005)/1)-2)^3,IF($F23&lt;=2008,2/3-((($F23-2005)/1)-2)^2+0.5*((($F23-2005)/1)-2)^3,IF($F23&lt;=2009,(4-(($F23-2005)/1))^3/6,0)))))</f>
        <v>0</v>
      </c>
      <c r="Y23" s="16">
        <f>IF($F23&lt;=2006,0,IF($F23&lt;=2007,(($F23-2006)/1)^3/6,IF($F23&lt;=2008,2/3-((($F23-2006)/1)-2)^2-0.5*((($F23-2006)/1)-2)^3,IF($F23&lt;=2009,2/3-((($F23-2006)/1)-2)^2+0.5*((($F23-2006)/1)-2)^3,IF($F23&lt;=2010,(4-(($F23-2006)/1))^3/6,0)))))</f>
        <v>0</v>
      </c>
      <c r="Z23" s="16">
        <f>IF($F23&lt;=2007,0,IF($F23&lt;=2008,(($F23-2007)/1)^3/6,IF($F23&lt;=2009,2/3-((($F23-2007)/1)-2)^2-0.5*((($F23-2007)/1)-2)^3,IF($F23&lt;=2010,2/3-((($F23-2007)/1)-2)^2+0.5*((($F23-2007)/1)-2)^3,IF($F23&lt;=2011,(4-(($F23-2007)/1))^3/6,0)))))</f>
        <v>0</v>
      </c>
      <c r="AA23" s="16">
        <f>IF($F23&lt;=2008,0,IF($F23&lt;=2009,(($F23-2008)/1)^3/6,IF($F23&lt;=2010,2/3-((($F23-2008)/1)-2)^2-0.5*((($F23-2008)/1)-2)^3,IF($F23&lt;=2011,2/3-((($F23-2008)/1)-2)^2+0.5*((($F23-2008)/1)-2)^3,IF($F23&lt;=2012,(4-(($F23-2008)/1))^3/6,0)))))</f>
        <v>0.16666666666666699</v>
      </c>
      <c r="AB23" s="16">
        <f>IF($F23&lt;=2009,0,IF($F23&lt;=2010,(($F23-2009)/1)^3/6,IF($F23&lt;=2011,2/3-((($F23-2009)/1)-2)^2-0.5*((($F23-2009)/1)-2)^3,IF($F23&lt;=2012,2/3-((($F23-2009)/1)-2)^2+0.5*((($F23-2009)/1)-2)^3,IF($F23&lt;=2013,(4-(($F23-2009)/1))^3/6,0)))))</f>
        <v>0.66666666666666696</v>
      </c>
      <c r="AC23" s="16">
        <f>IF($F23&lt;=2010,0,IF($F23&lt;=2011,(($F23-2010)/1)^3/6,IF($F23&lt;=2012,2/3-((($F23-2010)/1)-2)^2-0.5*((($F23-2010)/1)-2)^3,IF($F23&lt;=2013,2/3-((($F23-2010)/1)-2)^2+0.5*((($F23-2010)/1)-2)^3,IF($F23&lt;=2014,(4-(($F23-2010)/1))^3/6,0)))))</f>
        <v>0.16666666666666699</v>
      </c>
      <c r="AD23" s="16">
        <f>IF($F23&lt;=2011,0,IF($F23&lt;=2012,(($F23-2011)/1)^3/6,IF($F23&lt;=2013,2/3-((($F23-2011)/1)-2)^2-0.5*((($F23-2011)/1)-2)^3,IF($F23&lt;=2014,2/3-((($F23-2011)/1)-2)^2+0.5*((($F23-2011)/1)-2)^3,IF($F23&lt;=2015,(4-(($F23-2011)/1))^3/6,0)))))</f>
        <v>0</v>
      </c>
      <c r="AE23" s="16">
        <f>IF($F23&lt;=2012,0,IF($F23&lt;=2013,(($F23-2012)/1)^3/6,IF($F23&lt;=2014,2/3-((($F23-2012)/1)-2)^2-0.5*((($F23-2012)/1)-2)^3,IF($F23&lt;=2015,2/3-((($F23-2012)/1)-2)^2+0.5*((($F23-2012)/1)-2)^3,IF($F23&lt;=2016,(4-(($F23-2012)/1))^3/6,0)))))</f>
        <v>0</v>
      </c>
      <c r="AF23" s="16">
        <f>IF($F23&lt;=2013,0,IF($F23&lt;=2014,(($F23-2013)/1)^3/6,IF($F23&lt;=2015,2/3-((($F23-2013)/1)-2)^2-0.5*((($F23-2013)/1)-2)^3,IF($F23&lt;=2016,2/3-((($F23-2013)/1)-2)^2+0.5*((($F23-2013)/1)-2)^3,IF($F23&lt;=2017,(4-(($F23-2013)/1))^3/6,0)))))</f>
        <v>0</v>
      </c>
      <c r="AG23" s="16">
        <f>IF($F23&lt;=2014,0,IF($F23&lt;=2015,(($F23-2014)/1)^3/6,IF($F23&lt;=2016,2/3-((($F23-2014)/1)-2)^2-0.5*((($F23-2014)/1)-2)^3,IF($F23&lt;=2017,2/3-((($F23-2014)/1)-2)^2+0.5*((($F23-2014)/1)-2)^3,IF($F23&lt;=2018,(4-(($F23-2014)/1))^3/6,0)))))</f>
        <v>0</v>
      </c>
      <c r="AH23" s="16">
        <f>IF($F23&lt;=2015,0,IF($F23&lt;=2016,(($F23-2015)/1)^3/6,IF($F23&lt;=2017,2/3-((($F23-2015)/1)-2)^2-0.5*((($F23-2015)/1)-2)^3,IF($F23&lt;=2018,2/3-((($F23-2015)/1)-2)^2+0.5*((($F23-2015)/1)-2)^3,IF($F23&lt;=2019,(4-(($F23-2015)/1))^3/6,0)))))</f>
        <v>0</v>
      </c>
      <c r="AI23" s="16">
        <f>IF($F23&lt;=2016,0,IF($F23&lt;=2017,(($F23-2016)/1)^3/6,IF($F23&lt;=2018,2/3-((($F23-2016)/1)-2)^2-0.5*((($F23-2016)/1)-2)^3,IF($F23&lt;=2019,2/3-((($F23-2016)/1)-2)^2+0.5*((($F23-2016)/1)-2)^3,IF($F23&lt;=2020,(4-(($F23-2016)/1))^3/6,0)))))</f>
        <v>0</v>
      </c>
      <c r="AJ23" s="16">
        <f>IF($F23&lt;=2017,0,IF($F23&lt;=2018,(($F23-2017)/1)^3/6,IF($F23&lt;=2019,2/3-((($F23-2017)/1)-2)^2-0.5*((($F23-2017)/1)-2)^3,IF($F23&lt;=2020,2/3-((($F23-2017)/1)-2)^2+0.5*((($F23-2017)/1)-2)^3,IF($F23&lt;=2021,(4-(($F23-2017)/1))^3/6,0)))))</f>
        <v>0</v>
      </c>
      <c r="AK23" s="16">
        <f>IF($F23&lt;=2018,0,IF($F23&lt;=2019,(($F23-2018)/1)^3/6,IF($F23&lt;=2020,2/3-((($F23-2018)/1)-2)^2-0.5*((($F23-2018)/1)-2)^3,IF($F23&lt;=2021,2/3-((($F23-2018)/1)-2)^2+0.5*((($F23-2018)/1)-2)^3,IF($F23&lt;=2022,(4-(($F23-2018)/1))^3/6,0)))))</f>
        <v>0</v>
      </c>
    </row>
    <row r="24">
      <c r="A24" s="18" t="n">
        <v>2009</v>
      </c>
      <c r="B24" s="16">
        <f>2*B23-B22</f>
        <v>-7.6827141019345104</v>
      </c>
      <c r="C24" s="16">
        <f>B24-B23</f>
        <v>-0.040855414788505399</v>
      </c>
      <c r="D24" s="16">
        <f>C24-C23</f>
        <v>0</v>
      </c>
      <c r="F24" s="18" t="n">
        <v>2012</v>
      </c>
      <c r="G24" s="16">
        <f>'M_70_t'!B19</f>
        <v>0.00044495933160701001</v>
      </c>
      <c r="H24" s="16">
        <f>SUMPRODUCT(K24:AK24,$K$5:$AK$5)</f>
        <v>-7.7235695167230203</v>
      </c>
      <c r="I24" s="16">
        <f>EXP(H24)</f>
        <v>0.00044227906040679601</v>
      </c>
      <c r="J24" s="15" t="inlineStr">
        <is>
          <t>Projected</t>
        </is>
      </c>
      <c r="K24" s="16">
        <f>IF($F24&lt;=1992,0,IF($F24&lt;=1993,(($F24-1992)/1)^3/6,IF($F24&lt;=1994,2/3-((($F24-1992)/1)-2)^2-0.5*((($F24-1992)/1)-2)^3,IF($F24&lt;=1995,2/3-((($F24-1992)/1)-2)^2+0.5*((($F24-1992)/1)-2)^3,IF($F24&lt;=1996,(4-(($F24-1992)/1))^3/6,0)))))</f>
        <v>0</v>
      </c>
      <c r="L24" s="16">
        <f>IF($F24&lt;=1993,0,IF($F24&lt;=1994,(($F24-1993)/1)^3/6,IF($F24&lt;=1995,2/3-((($F24-1993)/1)-2)^2-0.5*((($F24-1993)/1)-2)^3,IF($F24&lt;=1996,2/3-((($F24-1993)/1)-2)^2+0.5*((($F24-1993)/1)-2)^3,IF($F24&lt;=1997,(4-(($F24-1993)/1))^3/6,0)))))</f>
        <v>0</v>
      </c>
      <c r="M24" s="16">
        <f>IF($F24&lt;=1994,0,IF($F24&lt;=1995,(($F24-1994)/1)^3/6,IF($F24&lt;=1996,2/3-((($F24-1994)/1)-2)^2-0.5*((($F24-1994)/1)-2)^3,IF($F24&lt;=1997,2/3-((($F24-1994)/1)-2)^2+0.5*((($F24-1994)/1)-2)^3,IF($F24&lt;=1998,(4-(($F24-1994)/1))^3/6,0)))))</f>
        <v>0</v>
      </c>
      <c r="N24" s="16">
        <f>IF($F24&lt;=1995,0,IF($F24&lt;=1996,(($F24-1995)/1)^3/6,IF($F24&lt;=1997,2/3-((($F24-1995)/1)-2)^2-0.5*((($F24-1995)/1)-2)^3,IF($F24&lt;=1998,2/3-((($F24-1995)/1)-2)^2+0.5*((($F24-1995)/1)-2)^3,IF($F24&lt;=1999,(4-(($F24-1995)/1))^3/6,0)))))</f>
        <v>0</v>
      </c>
      <c r="O24" s="16">
        <f>IF($F24&lt;=1996,0,IF($F24&lt;=1997,(($F24-1996)/1)^3/6,IF($F24&lt;=1998,2/3-((($F24-1996)/1)-2)^2-0.5*((($F24-1996)/1)-2)^3,IF($F24&lt;=1999,2/3-((($F24-1996)/1)-2)^2+0.5*((($F24-1996)/1)-2)^3,IF($F24&lt;=2000,(4-(($F24-1996)/1))^3/6,0)))))</f>
        <v>0</v>
      </c>
      <c r="P24" s="16">
        <f>IF($F24&lt;=1997,0,IF($F24&lt;=1998,(($F24-1997)/1)^3/6,IF($F24&lt;=1999,2/3-((($F24-1997)/1)-2)^2-0.5*((($F24-1997)/1)-2)^3,IF($F24&lt;=2000,2/3-((($F24-1997)/1)-2)^2+0.5*((($F24-1997)/1)-2)^3,IF($F24&lt;=2001,(4-(($F24-1997)/1))^3/6,0)))))</f>
        <v>0</v>
      </c>
      <c r="Q24" s="16">
        <f>IF($F24&lt;=1998,0,IF($F24&lt;=1999,(($F24-1998)/1)^3/6,IF($F24&lt;=2000,2/3-((($F24-1998)/1)-2)^2-0.5*((($F24-1998)/1)-2)^3,IF($F24&lt;=2001,2/3-((($F24-1998)/1)-2)^2+0.5*((($F24-1998)/1)-2)^3,IF($F24&lt;=2002,(4-(($F24-1998)/1))^3/6,0)))))</f>
        <v>0</v>
      </c>
      <c r="R24" s="16">
        <f>IF($F24&lt;=1999,0,IF($F24&lt;=2000,(($F24-1999)/1)^3/6,IF($F24&lt;=2001,2/3-((($F24-1999)/1)-2)^2-0.5*((($F24-1999)/1)-2)^3,IF($F24&lt;=2002,2/3-((($F24-1999)/1)-2)^2+0.5*((($F24-1999)/1)-2)^3,IF($F24&lt;=2003,(4-(($F24-1999)/1))^3/6,0)))))</f>
        <v>0</v>
      </c>
      <c r="S24" s="16">
        <f>IF($F24&lt;=2000,0,IF($F24&lt;=2001,(($F24-2000)/1)^3/6,IF($F24&lt;=2002,2/3-((($F24-2000)/1)-2)^2-0.5*((($F24-2000)/1)-2)^3,IF($F24&lt;=2003,2/3-((($F24-2000)/1)-2)^2+0.5*((($F24-2000)/1)-2)^3,IF($F24&lt;=2004,(4-(($F24-2000)/1))^3/6,0)))))</f>
        <v>0</v>
      </c>
      <c r="T24" s="16">
        <f>IF($F24&lt;=2001,0,IF($F24&lt;=2002,(($F24-2001)/1)^3/6,IF($F24&lt;=2003,2/3-((($F24-2001)/1)-2)^2-0.5*((($F24-2001)/1)-2)^3,IF($F24&lt;=2004,2/3-((($F24-2001)/1)-2)^2+0.5*((($F24-2001)/1)-2)^3,IF($F24&lt;=2005,(4-(($F24-2001)/1))^3/6,0)))))</f>
        <v>0</v>
      </c>
      <c r="U24" s="16">
        <f>IF($F24&lt;=2002,0,IF($F24&lt;=2003,(($F24-2002)/1)^3/6,IF($F24&lt;=2004,2/3-((($F24-2002)/1)-2)^2-0.5*((($F24-2002)/1)-2)^3,IF($F24&lt;=2005,2/3-((($F24-2002)/1)-2)^2+0.5*((($F24-2002)/1)-2)^3,IF($F24&lt;=2006,(4-(($F24-2002)/1))^3/6,0)))))</f>
        <v>0</v>
      </c>
      <c r="V24" s="16">
        <f>IF($F24&lt;=2003,0,IF($F24&lt;=2004,(($F24-2003)/1)^3/6,IF($F24&lt;=2005,2/3-((($F24-2003)/1)-2)^2-0.5*((($F24-2003)/1)-2)^3,IF($F24&lt;=2006,2/3-((($F24-2003)/1)-2)^2+0.5*((($F24-2003)/1)-2)^3,IF($F24&lt;=2007,(4-(($F24-2003)/1))^3/6,0)))))</f>
        <v>0</v>
      </c>
      <c r="W24" s="16">
        <f>IF($F24&lt;=2004,0,IF($F24&lt;=2005,(($F24-2004)/1)^3/6,IF($F24&lt;=2006,2/3-((($F24-2004)/1)-2)^2-0.5*((($F24-2004)/1)-2)^3,IF($F24&lt;=2007,2/3-((($F24-2004)/1)-2)^2+0.5*((($F24-2004)/1)-2)^3,IF($F24&lt;=2008,(4-(($F24-2004)/1))^3/6,0)))))</f>
        <v>0</v>
      </c>
      <c r="X24" s="16">
        <f>IF($F24&lt;=2005,0,IF($F24&lt;=2006,(($F24-2005)/1)^3/6,IF($F24&lt;=2007,2/3-((($F24-2005)/1)-2)^2-0.5*((($F24-2005)/1)-2)^3,IF($F24&lt;=2008,2/3-((($F24-2005)/1)-2)^2+0.5*((($F24-2005)/1)-2)^3,IF($F24&lt;=2009,(4-(($F24-2005)/1))^3/6,0)))))</f>
        <v>0</v>
      </c>
      <c r="Y24" s="16">
        <f>IF($F24&lt;=2006,0,IF($F24&lt;=2007,(($F24-2006)/1)^3/6,IF($F24&lt;=2008,2/3-((($F24-2006)/1)-2)^2-0.5*((($F24-2006)/1)-2)^3,IF($F24&lt;=2009,2/3-((($F24-2006)/1)-2)^2+0.5*((($F24-2006)/1)-2)^3,IF($F24&lt;=2010,(4-(($F24-2006)/1))^3/6,0)))))</f>
        <v>0</v>
      </c>
      <c r="Z24" s="16">
        <f>IF($F24&lt;=2007,0,IF($F24&lt;=2008,(($F24-2007)/1)^3/6,IF($F24&lt;=2009,2/3-((($F24-2007)/1)-2)^2-0.5*((($F24-2007)/1)-2)^3,IF($F24&lt;=2010,2/3-((($F24-2007)/1)-2)^2+0.5*((($F24-2007)/1)-2)^3,IF($F24&lt;=2011,(4-(($F24-2007)/1))^3/6,0)))))</f>
        <v>0</v>
      </c>
      <c r="AA24" s="16">
        <f>IF($F24&lt;=2008,0,IF($F24&lt;=2009,(($F24-2008)/1)^3/6,IF($F24&lt;=2010,2/3-((($F24-2008)/1)-2)^2-0.5*((($F24-2008)/1)-2)^3,IF($F24&lt;=2011,2/3-((($F24-2008)/1)-2)^2+0.5*((($F24-2008)/1)-2)^3,IF($F24&lt;=2012,(4-(($F24-2008)/1))^3/6,0)))))</f>
        <v>0</v>
      </c>
      <c r="AB24" s="16">
        <f>IF($F24&lt;=2009,0,IF($F24&lt;=2010,(($F24-2009)/1)^3/6,IF($F24&lt;=2011,2/3-((($F24-2009)/1)-2)^2-0.5*((($F24-2009)/1)-2)^3,IF($F24&lt;=2012,2/3-((($F24-2009)/1)-2)^2+0.5*((($F24-2009)/1)-2)^3,IF($F24&lt;=2013,(4-(($F24-2009)/1))^3/6,0)))))</f>
        <v>0.16666666666666699</v>
      </c>
      <c r="AC24" s="16">
        <f>IF($F24&lt;=2010,0,IF($F24&lt;=2011,(($F24-2010)/1)^3/6,IF($F24&lt;=2012,2/3-((($F24-2010)/1)-2)^2-0.5*((($F24-2010)/1)-2)^3,IF($F24&lt;=2013,2/3-((($F24-2010)/1)-2)^2+0.5*((($F24-2010)/1)-2)^3,IF($F24&lt;=2014,(4-(($F24-2010)/1))^3/6,0)))))</f>
        <v>0.66666666666666696</v>
      </c>
      <c r="AD24" s="16">
        <f>IF($F24&lt;=2011,0,IF($F24&lt;=2012,(($F24-2011)/1)^3/6,IF($F24&lt;=2013,2/3-((($F24-2011)/1)-2)^2-0.5*((($F24-2011)/1)-2)^3,IF($F24&lt;=2014,2/3-((($F24-2011)/1)-2)^2+0.5*((($F24-2011)/1)-2)^3,IF($F24&lt;=2015,(4-(($F24-2011)/1))^3/6,0)))))</f>
        <v>0.16666666666666699</v>
      </c>
      <c r="AE24" s="16">
        <f>IF($F24&lt;=2012,0,IF($F24&lt;=2013,(($F24-2012)/1)^3/6,IF($F24&lt;=2014,2/3-((($F24-2012)/1)-2)^2-0.5*((($F24-2012)/1)-2)^3,IF($F24&lt;=2015,2/3-((($F24-2012)/1)-2)^2+0.5*((($F24-2012)/1)-2)^3,IF($F24&lt;=2016,(4-(($F24-2012)/1))^3/6,0)))))</f>
        <v>0</v>
      </c>
      <c r="AF24" s="16">
        <f>IF($F24&lt;=2013,0,IF($F24&lt;=2014,(($F24-2013)/1)^3/6,IF($F24&lt;=2015,2/3-((($F24-2013)/1)-2)^2-0.5*((($F24-2013)/1)-2)^3,IF($F24&lt;=2016,2/3-((($F24-2013)/1)-2)^2+0.5*((($F24-2013)/1)-2)^3,IF($F24&lt;=2017,(4-(($F24-2013)/1))^3/6,0)))))</f>
        <v>0</v>
      </c>
      <c r="AG24" s="16">
        <f>IF($F24&lt;=2014,0,IF($F24&lt;=2015,(($F24-2014)/1)^3/6,IF($F24&lt;=2016,2/3-((($F24-2014)/1)-2)^2-0.5*((($F24-2014)/1)-2)^3,IF($F24&lt;=2017,2/3-((($F24-2014)/1)-2)^2+0.5*((($F24-2014)/1)-2)^3,IF($F24&lt;=2018,(4-(($F24-2014)/1))^3/6,0)))))</f>
        <v>0</v>
      </c>
      <c r="AH24" s="16">
        <f>IF($F24&lt;=2015,0,IF($F24&lt;=2016,(($F24-2015)/1)^3/6,IF($F24&lt;=2017,2/3-((($F24-2015)/1)-2)^2-0.5*((($F24-2015)/1)-2)^3,IF($F24&lt;=2018,2/3-((($F24-2015)/1)-2)^2+0.5*((($F24-2015)/1)-2)^3,IF($F24&lt;=2019,(4-(($F24-2015)/1))^3/6,0)))))</f>
        <v>0</v>
      </c>
      <c r="AI24" s="16">
        <f>IF($F24&lt;=2016,0,IF($F24&lt;=2017,(($F24-2016)/1)^3/6,IF($F24&lt;=2018,2/3-((($F24-2016)/1)-2)^2-0.5*((($F24-2016)/1)-2)^3,IF($F24&lt;=2019,2/3-((($F24-2016)/1)-2)^2+0.5*((($F24-2016)/1)-2)^3,IF($F24&lt;=2020,(4-(($F24-2016)/1))^3/6,0)))))</f>
        <v>0</v>
      </c>
      <c r="AJ24" s="16">
        <f>IF($F24&lt;=2017,0,IF($F24&lt;=2018,(($F24-2017)/1)^3/6,IF($F24&lt;=2019,2/3-((($F24-2017)/1)-2)^2-0.5*((($F24-2017)/1)-2)^3,IF($F24&lt;=2020,2/3-((($F24-2017)/1)-2)^2+0.5*((($F24-2017)/1)-2)^3,IF($F24&lt;=2021,(4-(($F24-2017)/1))^3/6,0)))))</f>
        <v>0</v>
      </c>
      <c r="AK24" s="16">
        <f>IF($F24&lt;=2018,0,IF($F24&lt;=2019,(($F24-2018)/1)^3/6,IF($F24&lt;=2020,2/3-((($F24-2018)/1)-2)^2-0.5*((($F24-2018)/1)-2)^3,IF($F24&lt;=2021,2/3-((($F24-2018)/1)-2)^2+0.5*((($F24-2018)/1)-2)^3,IF($F24&lt;=2022,(4-(($F24-2018)/1))^3/6,0)))))</f>
        <v>0</v>
      </c>
    </row>
    <row r="25">
      <c r="A25" s="18" t="n">
        <v>2010</v>
      </c>
      <c r="B25" s="16">
        <f>2*B24-B23</f>
        <v>-7.7235695167230203</v>
      </c>
      <c r="C25" s="16">
        <f>B25-B24</f>
        <v>-0.040855414788505399</v>
      </c>
      <c r="D25" s="16">
        <f>C25-C24</f>
        <v>0</v>
      </c>
      <c r="F25" s="18" t="n">
        <v>2013</v>
      </c>
      <c r="G25" s="16">
        <f>'M_70_t'!B20</f>
        <v>0.00041112307243118301</v>
      </c>
      <c r="H25" s="16">
        <f>SUMPRODUCT(K25:AK25,$K$5:$AK$5)</f>
        <v>-7.7644249315115204</v>
      </c>
      <c r="I25" s="16">
        <f>EXP(H25)</f>
        <v>0.00042457370838618898</v>
      </c>
      <c r="J25" s="15" t="inlineStr">
        <is>
          <t>Projected</t>
        </is>
      </c>
      <c r="K25" s="16">
        <f>IF($F25&lt;=1992,0,IF($F25&lt;=1993,(($F25-1992)/1)^3/6,IF($F25&lt;=1994,2/3-((($F25-1992)/1)-2)^2-0.5*((($F25-1992)/1)-2)^3,IF($F25&lt;=1995,2/3-((($F25-1992)/1)-2)^2+0.5*((($F25-1992)/1)-2)^3,IF($F25&lt;=1996,(4-(($F25-1992)/1))^3/6,0)))))</f>
        <v>0</v>
      </c>
      <c r="L25" s="16">
        <f>IF($F25&lt;=1993,0,IF($F25&lt;=1994,(($F25-1993)/1)^3/6,IF($F25&lt;=1995,2/3-((($F25-1993)/1)-2)^2-0.5*((($F25-1993)/1)-2)^3,IF($F25&lt;=1996,2/3-((($F25-1993)/1)-2)^2+0.5*((($F25-1993)/1)-2)^3,IF($F25&lt;=1997,(4-(($F25-1993)/1))^3/6,0)))))</f>
        <v>0</v>
      </c>
      <c r="M25" s="16">
        <f>IF($F25&lt;=1994,0,IF($F25&lt;=1995,(($F25-1994)/1)^3/6,IF($F25&lt;=1996,2/3-((($F25-1994)/1)-2)^2-0.5*((($F25-1994)/1)-2)^3,IF($F25&lt;=1997,2/3-((($F25-1994)/1)-2)^2+0.5*((($F25-1994)/1)-2)^3,IF($F25&lt;=1998,(4-(($F25-1994)/1))^3/6,0)))))</f>
        <v>0</v>
      </c>
      <c r="N25" s="16">
        <f>IF($F25&lt;=1995,0,IF($F25&lt;=1996,(($F25-1995)/1)^3/6,IF($F25&lt;=1997,2/3-((($F25-1995)/1)-2)^2-0.5*((($F25-1995)/1)-2)^3,IF($F25&lt;=1998,2/3-((($F25-1995)/1)-2)^2+0.5*((($F25-1995)/1)-2)^3,IF($F25&lt;=1999,(4-(($F25-1995)/1))^3/6,0)))))</f>
        <v>0</v>
      </c>
      <c r="O25" s="16">
        <f>IF($F25&lt;=1996,0,IF($F25&lt;=1997,(($F25-1996)/1)^3/6,IF($F25&lt;=1998,2/3-((($F25-1996)/1)-2)^2-0.5*((($F25-1996)/1)-2)^3,IF($F25&lt;=1999,2/3-((($F25-1996)/1)-2)^2+0.5*((($F25-1996)/1)-2)^3,IF($F25&lt;=2000,(4-(($F25-1996)/1))^3/6,0)))))</f>
        <v>0</v>
      </c>
      <c r="P25" s="16">
        <f>IF($F25&lt;=1997,0,IF($F25&lt;=1998,(($F25-1997)/1)^3/6,IF($F25&lt;=1999,2/3-((($F25-1997)/1)-2)^2-0.5*((($F25-1997)/1)-2)^3,IF($F25&lt;=2000,2/3-((($F25-1997)/1)-2)^2+0.5*((($F25-1997)/1)-2)^3,IF($F25&lt;=2001,(4-(($F25-1997)/1))^3/6,0)))))</f>
        <v>0</v>
      </c>
      <c r="Q25" s="16">
        <f>IF($F25&lt;=1998,0,IF($F25&lt;=1999,(($F25-1998)/1)^3/6,IF($F25&lt;=2000,2/3-((($F25-1998)/1)-2)^2-0.5*((($F25-1998)/1)-2)^3,IF($F25&lt;=2001,2/3-((($F25-1998)/1)-2)^2+0.5*((($F25-1998)/1)-2)^3,IF($F25&lt;=2002,(4-(($F25-1998)/1))^3/6,0)))))</f>
        <v>0</v>
      </c>
      <c r="R25" s="16">
        <f>IF($F25&lt;=1999,0,IF($F25&lt;=2000,(($F25-1999)/1)^3/6,IF($F25&lt;=2001,2/3-((($F25-1999)/1)-2)^2-0.5*((($F25-1999)/1)-2)^3,IF($F25&lt;=2002,2/3-((($F25-1999)/1)-2)^2+0.5*((($F25-1999)/1)-2)^3,IF($F25&lt;=2003,(4-(($F25-1999)/1))^3/6,0)))))</f>
        <v>0</v>
      </c>
      <c r="S25" s="16">
        <f>IF($F25&lt;=2000,0,IF($F25&lt;=2001,(($F25-2000)/1)^3/6,IF($F25&lt;=2002,2/3-((($F25-2000)/1)-2)^2-0.5*((($F25-2000)/1)-2)^3,IF($F25&lt;=2003,2/3-((($F25-2000)/1)-2)^2+0.5*((($F25-2000)/1)-2)^3,IF($F25&lt;=2004,(4-(($F25-2000)/1))^3/6,0)))))</f>
        <v>0</v>
      </c>
      <c r="T25" s="16">
        <f>IF($F25&lt;=2001,0,IF($F25&lt;=2002,(($F25-2001)/1)^3/6,IF($F25&lt;=2003,2/3-((($F25-2001)/1)-2)^2-0.5*((($F25-2001)/1)-2)^3,IF($F25&lt;=2004,2/3-((($F25-2001)/1)-2)^2+0.5*((($F25-2001)/1)-2)^3,IF($F25&lt;=2005,(4-(($F25-2001)/1))^3/6,0)))))</f>
        <v>0</v>
      </c>
      <c r="U25" s="16">
        <f>IF($F25&lt;=2002,0,IF($F25&lt;=2003,(($F25-2002)/1)^3/6,IF($F25&lt;=2004,2/3-((($F25-2002)/1)-2)^2-0.5*((($F25-2002)/1)-2)^3,IF($F25&lt;=2005,2/3-((($F25-2002)/1)-2)^2+0.5*((($F25-2002)/1)-2)^3,IF($F25&lt;=2006,(4-(($F25-2002)/1))^3/6,0)))))</f>
        <v>0</v>
      </c>
      <c r="V25" s="16">
        <f>IF($F25&lt;=2003,0,IF($F25&lt;=2004,(($F25-2003)/1)^3/6,IF($F25&lt;=2005,2/3-((($F25-2003)/1)-2)^2-0.5*((($F25-2003)/1)-2)^3,IF($F25&lt;=2006,2/3-((($F25-2003)/1)-2)^2+0.5*((($F25-2003)/1)-2)^3,IF($F25&lt;=2007,(4-(($F25-2003)/1))^3/6,0)))))</f>
        <v>0</v>
      </c>
      <c r="W25" s="16">
        <f>IF($F25&lt;=2004,0,IF($F25&lt;=2005,(($F25-2004)/1)^3/6,IF($F25&lt;=2006,2/3-((($F25-2004)/1)-2)^2-0.5*((($F25-2004)/1)-2)^3,IF($F25&lt;=2007,2/3-((($F25-2004)/1)-2)^2+0.5*((($F25-2004)/1)-2)^3,IF($F25&lt;=2008,(4-(($F25-2004)/1))^3/6,0)))))</f>
        <v>0</v>
      </c>
      <c r="X25" s="16">
        <f>IF($F25&lt;=2005,0,IF($F25&lt;=2006,(($F25-2005)/1)^3/6,IF($F25&lt;=2007,2/3-((($F25-2005)/1)-2)^2-0.5*((($F25-2005)/1)-2)^3,IF($F25&lt;=2008,2/3-((($F25-2005)/1)-2)^2+0.5*((($F25-2005)/1)-2)^3,IF($F25&lt;=2009,(4-(($F25-2005)/1))^3/6,0)))))</f>
        <v>0</v>
      </c>
      <c r="Y25" s="16">
        <f>IF($F25&lt;=2006,0,IF($F25&lt;=2007,(($F25-2006)/1)^3/6,IF($F25&lt;=2008,2/3-((($F25-2006)/1)-2)^2-0.5*((($F25-2006)/1)-2)^3,IF($F25&lt;=2009,2/3-((($F25-2006)/1)-2)^2+0.5*((($F25-2006)/1)-2)^3,IF($F25&lt;=2010,(4-(($F25-2006)/1))^3/6,0)))))</f>
        <v>0</v>
      </c>
      <c r="Z25" s="16">
        <f>IF($F25&lt;=2007,0,IF($F25&lt;=2008,(($F25-2007)/1)^3/6,IF($F25&lt;=2009,2/3-((($F25-2007)/1)-2)^2-0.5*((($F25-2007)/1)-2)^3,IF($F25&lt;=2010,2/3-((($F25-2007)/1)-2)^2+0.5*((($F25-2007)/1)-2)^3,IF($F25&lt;=2011,(4-(($F25-2007)/1))^3/6,0)))))</f>
        <v>0</v>
      </c>
      <c r="AA25" s="16">
        <f>IF($F25&lt;=2008,0,IF($F25&lt;=2009,(($F25-2008)/1)^3/6,IF($F25&lt;=2010,2/3-((($F25-2008)/1)-2)^2-0.5*((($F25-2008)/1)-2)^3,IF($F25&lt;=2011,2/3-((($F25-2008)/1)-2)^2+0.5*((($F25-2008)/1)-2)^3,IF($F25&lt;=2012,(4-(($F25-2008)/1))^3/6,0)))))</f>
        <v>0</v>
      </c>
      <c r="AB25" s="16">
        <f>IF($F25&lt;=2009,0,IF($F25&lt;=2010,(($F25-2009)/1)^3/6,IF($F25&lt;=2011,2/3-((($F25-2009)/1)-2)^2-0.5*((($F25-2009)/1)-2)^3,IF($F25&lt;=2012,2/3-((($F25-2009)/1)-2)^2+0.5*((($F25-2009)/1)-2)^3,IF($F25&lt;=2013,(4-(($F25-2009)/1))^3/6,0)))))</f>
        <v>0</v>
      </c>
      <c r="AC25" s="16">
        <f>IF($F25&lt;=2010,0,IF($F25&lt;=2011,(($F25-2010)/1)^3/6,IF($F25&lt;=2012,2/3-((($F25-2010)/1)-2)^2-0.5*((($F25-2010)/1)-2)^3,IF($F25&lt;=2013,2/3-((($F25-2010)/1)-2)^2+0.5*((($F25-2010)/1)-2)^3,IF($F25&lt;=2014,(4-(($F25-2010)/1))^3/6,0)))))</f>
        <v>0.16666666666666699</v>
      </c>
      <c r="AD25" s="16">
        <f>IF($F25&lt;=2011,0,IF($F25&lt;=2012,(($F25-2011)/1)^3/6,IF($F25&lt;=2013,2/3-((($F25-2011)/1)-2)^2-0.5*((($F25-2011)/1)-2)^3,IF($F25&lt;=2014,2/3-((($F25-2011)/1)-2)^2+0.5*((($F25-2011)/1)-2)^3,IF($F25&lt;=2015,(4-(($F25-2011)/1))^3/6,0)))))</f>
        <v>0.66666666666666696</v>
      </c>
      <c r="AE25" s="16">
        <f>IF($F25&lt;=2012,0,IF($F25&lt;=2013,(($F25-2012)/1)^3/6,IF($F25&lt;=2014,2/3-((($F25-2012)/1)-2)^2-0.5*((($F25-2012)/1)-2)^3,IF($F25&lt;=2015,2/3-((($F25-2012)/1)-2)^2+0.5*((($F25-2012)/1)-2)^3,IF($F25&lt;=2016,(4-(($F25-2012)/1))^3/6,0)))))</f>
        <v>0.16666666666666699</v>
      </c>
      <c r="AF25" s="16">
        <f>IF($F25&lt;=2013,0,IF($F25&lt;=2014,(($F25-2013)/1)^3/6,IF($F25&lt;=2015,2/3-((($F25-2013)/1)-2)^2-0.5*((($F25-2013)/1)-2)^3,IF($F25&lt;=2016,2/3-((($F25-2013)/1)-2)^2+0.5*((($F25-2013)/1)-2)^3,IF($F25&lt;=2017,(4-(($F25-2013)/1))^3/6,0)))))</f>
        <v>0</v>
      </c>
      <c r="AG25" s="16">
        <f>IF($F25&lt;=2014,0,IF($F25&lt;=2015,(($F25-2014)/1)^3/6,IF($F25&lt;=2016,2/3-((($F25-2014)/1)-2)^2-0.5*((($F25-2014)/1)-2)^3,IF($F25&lt;=2017,2/3-((($F25-2014)/1)-2)^2+0.5*((($F25-2014)/1)-2)^3,IF($F25&lt;=2018,(4-(($F25-2014)/1))^3/6,0)))))</f>
        <v>0</v>
      </c>
      <c r="AH25" s="16">
        <f>IF($F25&lt;=2015,0,IF($F25&lt;=2016,(($F25-2015)/1)^3/6,IF($F25&lt;=2017,2/3-((($F25-2015)/1)-2)^2-0.5*((($F25-2015)/1)-2)^3,IF($F25&lt;=2018,2/3-((($F25-2015)/1)-2)^2+0.5*((($F25-2015)/1)-2)^3,IF($F25&lt;=2019,(4-(($F25-2015)/1))^3/6,0)))))</f>
        <v>0</v>
      </c>
      <c r="AI25" s="16">
        <f>IF($F25&lt;=2016,0,IF($F25&lt;=2017,(($F25-2016)/1)^3/6,IF($F25&lt;=2018,2/3-((($F25-2016)/1)-2)^2-0.5*((($F25-2016)/1)-2)^3,IF($F25&lt;=2019,2/3-((($F25-2016)/1)-2)^2+0.5*((($F25-2016)/1)-2)^3,IF($F25&lt;=2020,(4-(($F25-2016)/1))^3/6,0)))))</f>
        <v>0</v>
      </c>
      <c r="AJ25" s="16">
        <f>IF($F25&lt;=2017,0,IF($F25&lt;=2018,(($F25-2017)/1)^3/6,IF($F25&lt;=2019,2/3-((($F25-2017)/1)-2)^2-0.5*((($F25-2017)/1)-2)^3,IF($F25&lt;=2020,2/3-((($F25-2017)/1)-2)^2+0.5*((($F25-2017)/1)-2)^3,IF($F25&lt;=2021,(4-(($F25-2017)/1))^3/6,0)))))</f>
        <v>0</v>
      </c>
      <c r="AK25" s="16">
        <f>IF($F25&lt;=2018,0,IF($F25&lt;=2019,(($F25-2018)/1)^3/6,IF($F25&lt;=2020,2/3-((($F25-2018)/1)-2)^2-0.5*((($F25-2018)/1)-2)^3,IF($F25&lt;=2021,2/3-((($F25-2018)/1)-2)^2+0.5*((($F25-2018)/1)-2)^3,IF($F25&lt;=2022,(4-(($F25-2018)/1))^3/6,0)))))</f>
        <v>0</v>
      </c>
    </row>
    <row r="26">
      <c r="A26" s="18" t="n">
        <v>2011</v>
      </c>
      <c r="B26" s="16">
        <f>2*B25-B24</f>
        <v>-7.7644249315115204</v>
      </c>
      <c r="C26" s="16">
        <f>B26-B25</f>
        <v>-0.040855414788505399</v>
      </c>
      <c r="D26" s="16">
        <f>C26-C25</f>
        <v>0</v>
      </c>
      <c r="F26" s="18" t="n">
        <v>2014</v>
      </c>
      <c r="G26" s="16">
        <f>'M_70_t'!B21</f>
        <v>0.00044881581519445602</v>
      </c>
      <c r="H26" s="16">
        <f>SUMPRODUCT(K26:AK26,$K$5:$AK$5)</f>
        <v>-7.8052803463000302</v>
      </c>
      <c r="I26" s="16">
        <f>EXP(H26)</f>
        <v>0.00040757713848582302</v>
      </c>
      <c r="J26" s="15" t="inlineStr">
        <is>
          <t>Projected</t>
        </is>
      </c>
      <c r="K26" s="16">
        <f>IF($F26&lt;=1992,0,IF($F26&lt;=1993,(($F26-1992)/1)^3/6,IF($F26&lt;=1994,2/3-((($F26-1992)/1)-2)^2-0.5*((($F26-1992)/1)-2)^3,IF($F26&lt;=1995,2/3-((($F26-1992)/1)-2)^2+0.5*((($F26-1992)/1)-2)^3,IF($F26&lt;=1996,(4-(($F26-1992)/1))^3/6,0)))))</f>
        <v>0</v>
      </c>
      <c r="L26" s="16">
        <f>IF($F26&lt;=1993,0,IF($F26&lt;=1994,(($F26-1993)/1)^3/6,IF($F26&lt;=1995,2/3-((($F26-1993)/1)-2)^2-0.5*((($F26-1993)/1)-2)^3,IF($F26&lt;=1996,2/3-((($F26-1993)/1)-2)^2+0.5*((($F26-1993)/1)-2)^3,IF($F26&lt;=1997,(4-(($F26-1993)/1))^3/6,0)))))</f>
        <v>0</v>
      </c>
      <c r="M26" s="16">
        <f>IF($F26&lt;=1994,0,IF($F26&lt;=1995,(($F26-1994)/1)^3/6,IF($F26&lt;=1996,2/3-((($F26-1994)/1)-2)^2-0.5*((($F26-1994)/1)-2)^3,IF($F26&lt;=1997,2/3-((($F26-1994)/1)-2)^2+0.5*((($F26-1994)/1)-2)^3,IF($F26&lt;=1998,(4-(($F26-1994)/1))^3/6,0)))))</f>
        <v>0</v>
      </c>
      <c r="N26" s="16">
        <f>IF($F26&lt;=1995,0,IF($F26&lt;=1996,(($F26-1995)/1)^3/6,IF($F26&lt;=1997,2/3-((($F26-1995)/1)-2)^2-0.5*((($F26-1995)/1)-2)^3,IF($F26&lt;=1998,2/3-((($F26-1995)/1)-2)^2+0.5*((($F26-1995)/1)-2)^3,IF($F26&lt;=1999,(4-(($F26-1995)/1))^3/6,0)))))</f>
        <v>0</v>
      </c>
      <c r="O26" s="16">
        <f>IF($F26&lt;=1996,0,IF($F26&lt;=1997,(($F26-1996)/1)^3/6,IF($F26&lt;=1998,2/3-((($F26-1996)/1)-2)^2-0.5*((($F26-1996)/1)-2)^3,IF($F26&lt;=1999,2/3-((($F26-1996)/1)-2)^2+0.5*((($F26-1996)/1)-2)^3,IF($F26&lt;=2000,(4-(($F26-1996)/1))^3/6,0)))))</f>
        <v>0</v>
      </c>
      <c r="P26" s="16">
        <f>IF($F26&lt;=1997,0,IF($F26&lt;=1998,(($F26-1997)/1)^3/6,IF($F26&lt;=1999,2/3-((($F26-1997)/1)-2)^2-0.5*((($F26-1997)/1)-2)^3,IF($F26&lt;=2000,2/3-((($F26-1997)/1)-2)^2+0.5*((($F26-1997)/1)-2)^3,IF($F26&lt;=2001,(4-(($F26-1997)/1))^3/6,0)))))</f>
        <v>0</v>
      </c>
      <c r="Q26" s="16">
        <f>IF($F26&lt;=1998,0,IF($F26&lt;=1999,(($F26-1998)/1)^3/6,IF($F26&lt;=2000,2/3-((($F26-1998)/1)-2)^2-0.5*((($F26-1998)/1)-2)^3,IF($F26&lt;=2001,2/3-((($F26-1998)/1)-2)^2+0.5*((($F26-1998)/1)-2)^3,IF($F26&lt;=2002,(4-(($F26-1998)/1))^3/6,0)))))</f>
        <v>0</v>
      </c>
      <c r="R26" s="16">
        <f>IF($F26&lt;=1999,0,IF($F26&lt;=2000,(($F26-1999)/1)^3/6,IF($F26&lt;=2001,2/3-((($F26-1999)/1)-2)^2-0.5*((($F26-1999)/1)-2)^3,IF($F26&lt;=2002,2/3-((($F26-1999)/1)-2)^2+0.5*((($F26-1999)/1)-2)^3,IF($F26&lt;=2003,(4-(($F26-1999)/1))^3/6,0)))))</f>
        <v>0</v>
      </c>
      <c r="S26" s="16">
        <f>IF($F26&lt;=2000,0,IF($F26&lt;=2001,(($F26-2000)/1)^3/6,IF($F26&lt;=2002,2/3-((($F26-2000)/1)-2)^2-0.5*((($F26-2000)/1)-2)^3,IF($F26&lt;=2003,2/3-((($F26-2000)/1)-2)^2+0.5*((($F26-2000)/1)-2)^3,IF($F26&lt;=2004,(4-(($F26-2000)/1))^3/6,0)))))</f>
        <v>0</v>
      </c>
      <c r="T26" s="16">
        <f>IF($F26&lt;=2001,0,IF($F26&lt;=2002,(($F26-2001)/1)^3/6,IF($F26&lt;=2003,2/3-((($F26-2001)/1)-2)^2-0.5*((($F26-2001)/1)-2)^3,IF($F26&lt;=2004,2/3-((($F26-2001)/1)-2)^2+0.5*((($F26-2001)/1)-2)^3,IF($F26&lt;=2005,(4-(($F26-2001)/1))^3/6,0)))))</f>
        <v>0</v>
      </c>
      <c r="U26" s="16">
        <f>IF($F26&lt;=2002,0,IF($F26&lt;=2003,(($F26-2002)/1)^3/6,IF($F26&lt;=2004,2/3-((($F26-2002)/1)-2)^2-0.5*((($F26-2002)/1)-2)^3,IF($F26&lt;=2005,2/3-((($F26-2002)/1)-2)^2+0.5*((($F26-2002)/1)-2)^3,IF($F26&lt;=2006,(4-(($F26-2002)/1))^3/6,0)))))</f>
        <v>0</v>
      </c>
      <c r="V26" s="16">
        <f>IF($F26&lt;=2003,0,IF($F26&lt;=2004,(($F26-2003)/1)^3/6,IF($F26&lt;=2005,2/3-((($F26-2003)/1)-2)^2-0.5*((($F26-2003)/1)-2)^3,IF($F26&lt;=2006,2/3-((($F26-2003)/1)-2)^2+0.5*((($F26-2003)/1)-2)^3,IF($F26&lt;=2007,(4-(($F26-2003)/1))^3/6,0)))))</f>
        <v>0</v>
      </c>
      <c r="W26" s="16">
        <f>IF($F26&lt;=2004,0,IF($F26&lt;=2005,(($F26-2004)/1)^3/6,IF($F26&lt;=2006,2/3-((($F26-2004)/1)-2)^2-0.5*((($F26-2004)/1)-2)^3,IF($F26&lt;=2007,2/3-((($F26-2004)/1)-2)^2+0.5*((($F26-2004)/1)-2)^3,IF($F26&lt;=2008,(4-(($F26-2004)/1))^3/6,0)))))</f>
        <v>0</v>
      </c>
      <c r="X26" s="16">
        <f>IF($F26&lt;=2005,0,IF($F26&lt;=2006,(($F26-2005)/1)^3/6,IF($F26&lt;=2007,2/3-((($F26-2005)/1)-2)^2-0.5*((($F26-2005)/1)-2)^3,IF($F26&lt;=2008,2/3-((($F26-2005)/1)-2)^2+0.5*((($F26-2005)/1)-2)^3,IF($F26&lt;=2009,(4-(($F26-2005)/1))^3/6,0)))))</f>
        <v>0</v>
      </c>
      <c r="Y26" s="16">
        <f>IF($F26&lt;=2006,0,IF($F26&lt;=2007,(($F26-2006)/1)^3/6,IF($F26&lt;=2008,2/3-((($F26-2006)/1)-2)^2-0.5*((($F26-2006)/1)-2)^3,IF($F26&lt;=2009,2/3-((($F26-2006)/1)-2)^2+0.5*((($F26-2006)/1)-2)^3,IF($F26&lt;=2010,(4-(($F26-2006)/1))^3/6,0)))))</f>
        <v>0</v>
      </c>
      <c r="Z26" s="16">
        <f>IF($F26&lt;=2007,0,IF($F26&lt;=2008,(($F26-2007)/1)^3/6,IF($F26&lt;=2009,2/3-((($F26-2007)/1)-2)^2-0.5*((($F26-2007)/1)-2)^3,IF($F26&lt;=2010,2/3-((($F26-2007)/1)-2)^2+0.5*((($F26-2007)/1)-2)^3,IF($F26&lt;=2011,(4-(($F26-2007)/1))^3/6,0)))))</f>
        <v>0</v>
      </c>
      <c r="AA26" s="16">
        <f>IF($F26&lt;=2008,0,IF($F26&lt;=2009,(($F26-2008)/1)^3/6,IF($F26&lt;=2010,2/3-((($F26-2008)/1)-2)^2-0.5*((($F26-2008)/1)-2)^3,IF($F26&lt;=2011,2/3-((($F26-2008)/1)-2)^2+0.5*((($F26-2008)/1)-2)^3,IF($F26&lt;=2012,(4-(($F26-2008)/1))^3/6,0)))))</f>
        <v>0</v>
      </c>
      <c r="AB26" s="16">
        <f>IF($F26&lt;=2009,0,IF($F26&lt;=2010,(($F26-2009)/1)^3/6,IF($F26&lt;=2011,2/3-((($F26-2009)/1)-2)^2-0.5*((($F26-2009)/1)-2)^3,IF($F26&lt;=2012,2/3-((($F26-2009)/1)-2)^2+0.5*((($F26-2009)/1)-2)^3,IF($F26&lt;=2013,(4-(($F26-2009)/1))^3/6,0)))))</f>
        <v>0</v>
      </c>
      <c r="AC26" s="16">
        <f>IF($F26&lt;=2010,0,IF($F26&lt;=2011,(($F26-2010)/1)^3/6,IF($F26&lt;=2012,2/3-((($F26-2010)/1)-2)^2-0.5*((($F26-2010)/1)-2)^3,IF($F26&lt;=2013,2/3-((($F26-2010)/1)-2)^2+0.5*((($F26-2010)/1)-2)^3,IF($F26&lt;=2014,(4-(($F26-2010)/1))^3/6,0)))))</f>
        <v>0</v>
      </c>
      <c r="AD26" s="16">
        <f>IF($F26&lt;=2011,0,IF($F26&lt;=2012,(($F26-2011)/1)^3/6,IF($F26&lt;=2013,2/3-((($F26-2011)/1)-2)^2-0.5*((($F26-2011)/1)-2)^3,IF($F26&lt;=2014,2/3-((($F26-2011)/1)-2)^2+0.5*((($F26-2011)/1)-2)^3,IF($F26&lt;=2015,(4-(($F26-2011)/1))^3/6,0)))))</f>
        <v>0.16666666666666699</v>
      </c>
      <c r="AE26" s="16">
        <f>IF($F26&lt;=2012,0,IF($F26&lt;=2013,(($F26-2012)/1)^3/6,IF($F26&lt;=2014,2/3-((($F26-2012)/1)-2)^2-0.5*((($F26-2012)/1)-2)^3,IF($F26&lt;=2015,2/3-((($F26-2012)/1)-2)^2+0.5*((($F26-2012)/1)-2)^3,IF($F26&lt;=2016,(4-(($F26-2012)/1))^3/6,0)))))</f>
        <v>0.66666666666666696</v>
      </c>
      <c r="AF26" s="16">
        <f>IF($F26&lt;=2013,0,IF($F26&lt;=2014,(($F26-2013)/1)^3/6,IF($F26&lt;=2015,2/3-((($F26-2013)/1)-2)^2-0.5*((($F26-2013)/1)-2)^3,IF($F26&lt;=2016,2/3-((($F26-2013)/1)-2)^2+0.5*((($F26-2013)/1)-2)^3,IF($F26&lt;=2017,(4-(($F26-2013)/1))^3/6,0)))))</f>
        <v>0.16666666666666699</v>
      </c>
      <c r="AG26" s="16">
        <f>IF($F26&lt;=2014,0,IF($F26&lt;=2015,(($F26-2014)/1)^3/6,IF($F26&lt;=2016,2/3-((($F26-2014)/1)-2)^2-0.5*((($F26-2014)/1)-2)^3,IF($F26&lt;=2017,2/3-((($F26-2014)/1)-2)^2+0.5*((($F26-2014)/1)-2)^3,IF($F26&lt;=2018,(4-(($F26-2014)/1))^3/6,0)))))</f>
        <v>0</v>
      </c>
      <c r="AH26" s="16">
        <f>IF($F26&lt;=2015,0,IF($F26&lt;=2016,(($F26-2015)/1)^3/6,IF($F26&lt;=2017,2/3-((($F26-2015)/1)-2)^2-0.5*((($F26-2015)/1)-2)^3,IF($F26&lt;=2018,2/3-((($F26-2015)/1)-2)^2+0.5*((($F26-2015)/1)-2)^3,IF($F26&lt;=2019,(4-(($F26-2015)/1))^3/6,0)))))</f>
        <v>0</v>
      </c>
      <c r="AI26" s="16">
        <f>IF($F26&lt;=2016,0,IF($F26&lt;=2017,(($F26-2016)/1)^3/6,IF($F26&lt;=2018,2/3-((($F26-2016)/1)-2)^2-0.5*((($F26-2016)/1)-2)^3,IF($F26&lt;=2019,2/3-((($F26-2016)/1)-2)^2+0.5*((($F26-2016)/1)-2)^3,IF($F26&lt;=2020,(4-(($F26-2016)/1))^3/6,0)))))</f>
        <v>0</v>
      </c>
      <c r="AJ26" s="16">
        <f>IF($F26&lt;=2017,0,IF($F26&lt;=2018,(($F26-2017)/1)^3/6,IF($F26&lt;=2019,2/3-((($F26-2017)/1)-2)^2-0.5*((($F26-2017)/1)-2)^3,IF($F26&lt;=2020,2/3-((($F26-2017)/1)-2)^2+0.5*((($F26-2017)/1)-2)^3,IF($F26&lt;=2021,(4-(($F26-2017)/1))^3/6,0)))))</f>
        <v>0</v>
      </c>
      <c r="AK26" s="16">
        <f>IF($F26&lt;=2018,0,IF($F26&lt;=2019,(($F26-2018)/1)^3/6,IF($F26&lt;=2020,2/3-((($F26-2018)/1)-2)^2-0.5*((($F26-2018)/1)-2)^3,IF($F26&lt;=2021,2/3-((($F26-2018)/1)-2)^2+0.5*((($F26-2018)/1)-2)^3,IF($F26&lt;=2022,(4-(($F26-2018)/1))^3/6,0)))))</f>
        <v>0</v>
      </c>
    </row>
    <row r="27">
      <c r="A27" s="18" t="n">
        <v>2012</v>
      </c>
      <c r="B27" s="16">
        <f>2*B26-B25</f>
        <v>-7.8052803463000302</v>
      </c>
      <c r="C27" s="16">
        <f>B27-B26</f>
        <v>-0.040855414788505399</v>
      </c>
      <c r="D27" s="16">
        <f>C27-C26</f>
        <v>0</v>
      </c>
      <c r="F27" s="18" t="n">
        <v>2015</v>
      </c>
      <c r="G27" s="16">
        <f>'M_70_t'!B22</f>
        <v>0.00040681103089843998</v>
      </c>
      <c r="H27" s="16">
        <f>SUMPRODUCT(K27:AK27,$K$5:$AK$5)</f>
        <v>-7.8461357610885303</v>
      </c>
      <c r="I27" s="16">
        <f>EXP(H27)</f>
        <v>0.00039126097668108902</v>
      </c>
      <c r="J27" s="15" t="inlineStr">
        <is>
          <t>Projected</t>
        </is>
      </c>
      <c r="K27" s="16">
        <f>IF($F27&lt;=1992,0,IF($F27&lt;=1993,(($F27-1992)/1)^3/6,IF($F27&lt;=1994,2/3-((($F27-1992)/1)-2)^2-0.5*((($F27-1992)/1)-2)^3,IF($F27&lt;=1995,2/3-((($F27-1992)/1)-2)^2+0.5*((($F27-1992)/1)-2)^3,IF($F27&lt;=1996,(4-(($F27-1992)/1))^3/6,0)))))</f>
        <v>0</v>
      </c>
      <c r="L27" s="16">
        <f>IF($F27&lt;=1993,0,IF($F27&lt;=1994,(($F27-1993)/1)^3/6,IF($F27&lt;=1995,2/3-((($F27-1993)/1)-2)^2-0.5*((($F27-1993)/1)-2)^3,IF($F27&lt;=1996,2/3-((($F27-1993)/1)-2)^2+0.5*((($F27-1993)/1)-2)^3,IF($F27&lt;=1997,(4-(($F27-1993)/1))^3/6,0)))))</f>
        <v>0</v>
      </c>
      <c r="M27" s="16">
        <f>IF($F27&lt;=1994,0,IF($F27&lt;=1995,(($F27-1994)/1)^3/6,IF($F27&lt;=1996,2/3-((($F27-1994)/1)-2)^2-0.5*((($F27-1994)/1)-2)^3,IF($F27&lt;=1997,2/3-((($F27-1994)/1)-2)^2+0.5*((($F27-1994)/1)-2)^3,IF($F27&lt;=1998,(4-(($F27-1994)/1))^3/6,0)))))</f>
        <v>0</v>
      </c>
      <c r="N27" s="16">
        <f>IF($F27&lt;=1995,0,IF($F27&lt;=1996,(($F27-1995)/1)^3/6,IF($F27&lt;=1997,2/3-((($F27-1995)/1)-2)^2-0.5*((($F27-1995)/1)-2)^3,IF($F27&lt;=1998,2/3-((($F27-1995)/1)-2)^2+0.5*((($F27-1995)/1)-2)^3,IF($F27&lt;=1999,(4-(($F27-1995)/1))^3/6,0)))))</f>
        <v>0</v>
      </c>
      <c r="O27" s="16">
        <f>IF($F27&lt;=1996,0,IF($F27&lt;=1997,(($F27-1996)/1)^3/6,IF($F27&lt;=1998,2/3-((($F27-1996)/1)-2)^2-0.5*((($F27-1996)/1)-2)^3,IF($F27&lt;=1999,2/3-((($F27-1996)/1)-2)^2+0.5*((($F27-1996)/1)-2)^3,IF($F27&lt;=2000,(4-(($F27-1996)/1))^3/6,0)))))</f>
        <v>0</v>
      </c>
      <c r="P27" s="16">
        <f>IF($F27&lt;=1997,0,IF($F27&lt;=1998,(($F27-1997)/1)^3/6,IF($F27&lt;=1999,2/3-((($F27-1997)/1)-2)^2-0.5*((($F27-1997)/1)-2)^3,IF($F27&lt;=2000,2/3-((($F27-1997)/1)-2)^2+0.5*((($F27-1997)/1)-2)^3,IF($F27&lt;=2001,(4-(($F27-1997)/1))^3/6,0)))))</f>
        <v>0</v>
      </c>
      <c r="Q27" s="16">
        <f>IF($F27&lt;=1998,0,IF($F27&lt;=1999,(($F27-1998)/1)^3/6,IF($F27&lt;=2000,2/3-((($F27-1998)/1)-2)^2-0.5*((($F27-1998)/1)-2)^3,IF($F27&lt;=2001,2/3-((($F27-1998)/1)-2)^2+0.5*((($F27-1998)/1)-2)^3,IF($F27&lt;=2002,(4-(($F27-1998)/1))^3/6,0)))))</f>
        <v>0</v>
      </c>
      <c r="R27" s="16">
        <f>IF($F27&lt;=1999,0,IF($F27&lt;=2000,(($F27-1999)/1)^3/6,IF($F27&lt;=2001,2/3-((($F27-1999)/1)-2)^2-0.5*((($F27-1999)/1)-2)^3,IF($F27&lt;=2002,2/3-((($F27-1999)/1)-2)^2+0.5*((($F27-1999)/1)-2)^3,IF($F27&lt;=2003,(4-(($F27-1999)/1))^3/6,0)))))</f>
        <v>0</v>
      </c>
      <c r="S27" s="16">
        <f>IF($F27&lt;=2000,0,IF($F27&lt;=2001,(($F27-2000)/1)^3/6,IF($F27&lt;=2002,2/3-((($F27-2000)/1)-2)^2-0.5*((($F27-2000)/1)-2)^3,IF($F27&lt;=2003,2/3-((($F27-2000)/1)-2)^2+0.5*((($F27-2000)/1)-2)^3,IF($F27&lt;=2004,(4-(($F27-2000)/1))^3/6,0)))))</f>
        <v>0</v>
      </c>
      <c r="T27" s="16">
        <f>IF($F27&lt;=2001,0,IF($F27&lt;=2002,(($F27-2001)/1)^3/6,IF($F27&lt;=2003,2/3-((($F27-2001)/1)-2)^2-0.5*((($F27-2001)/1)-2)^3,IF($F27&lt;=2004,2/3-((($F27-2001)/1)-2)^2+0.5*((($F27-2001)/1)-2)^3,IF($F27&lt;=2005,(4-(($F27-2001)/1))^3/6,0)))))</f>
        <v>0</v>
      </c>
      <c r="U27" s="16">
        <f>IF($F27&lt;=2002,0,IF($F27&lt;=2003,(($F27-2002)/1)^3/6,IF($F27&lt;=2004,2/3-((($F27-2002)/1)-2)^2-0.5*((($F27-2002)/1)-2)^3,IF($F27&lt;=2005,2/3-((($F27-2002)/1)-2)^2+0.5*((($F27-2002)/1)-2)^3,IF($F27&lt;=2006,(4-(($F27-2002)/1))^3/6,0)))))</f>
        <v>0</v>
      </c>
      <c r="V27" s="16">
        <f>IF($F27&lt;=2003,0,IF($F27&lt;=2004,(($F27-2003)/1)^3/6,IF($F27&lt;=2005,2/3-((($F27-2003)/1)-2)^2-0.5*((($F27-2003)/1)-2)^3,IF($F27&lt;=2006,2/3-((($F27-2003)/1)-2)^2+0.5*((($F27-2003)/1)-2)^3,IF($F27&lt;=2007,(4-(($F27-2003)/1))^3/6,0)))))</f>
        <v>0</v>
      </c>
      <c r="W27" s="16">
        <f>IF($F27&lt;=2004,0,IF($F27&lt;=2005,(($F27-2004)/1)^3/6,IF($F27&lt;=2006,2/3-((($F27-2004)/1)-2)^2-0.5*((($F27-2004)/1)-2)^3,IF($F27&lt;=2007,2/3-((($F27-2004)/1)-2)^2+0.5*((($F27-2004)/1)-2)^3,IF($F27&lt;=2008,(4-(($F27-2004)/1))^3/6,0)))))</f>
        <v>0</v>
      </c>
      <c r="X27" s="16">
        <f>IF($F27&lt;=2005,0,IF($F27&lt;=2006,(($F27-2005)/1)^3/6,IF($F27&lt;=2007,2/3-((($F27-2005)/1)-2)^2-0.5*((($F27-2005)/1)-2)^3,IF($F27&lt;=2008,2/3-((($F27-2005)/1)-2)^2+0.5*((($F27-2005)/1)-2)^3,IF($F27&lt;=2009,(4-(($F27-2005)/1))^3/6,0)))))</f>
        <v>0</v>
      </c>
      <c r="Y27" s="16">
        <f>IF($F27&lt;=2006,0,IF($F27&lt;=2007,(($F27-2006)/1)^3/6,IF($F27&lt;=2008,2/3-((($F27-2006)/1)-2)^2-0.5*((($F27-2006)/1)-2)^3,IF($F27&lt;=2009,2/3-((($F27-2006)/1)-2)^2+0.5*((($F27-2006)/1)-2)^3,IF($F27&lt;=2010,(4-(($F27-2006)/1))^3/6,0)))))</f>
        <v>0</v>
      </c>
      <c r="Z27" s="16">
        <f>IF($F27&lt;=2007,0,IF($F27&lt;=2008,(($F27-2007)/1)^3/6,IF($F27&lt;=2009,2/3-((($F27-2007)/1)-2)^2-0.5*((($F27-2007)/1)-2)^3,IF($F27&lt;=2010,2/3-((($F27-2007)/1)-2)^2+0.5*((($F27-2007)/1)-2)^3,IF($F27&lt;=2011,(4-(($F27-2007)/1))^3/6,0)))))</f>
        <v>0</v>
      </c>
      <c r="AA27" s="16">
        <f>IF($F27&lt;=2008,0,IF($F27&lt;=2009,(($F27-2008)/1)^3/6,IF($F27&lt;=2010,2/3-((($F27-2008)/1)-2)^2-0.5*((($F27-2008)/1)-2)^3,IF($F27&lt;=2011,2/3-((($F27-2008)/1)-2)^2+0.5*((($F27-2008)/1)-2)^3,IF($F27&lt;=2012,(4-(($F27-2008)/1))^3/6,0)))))</f>
        <v>0</v>
      </c>
      <c r="AB27" s="16">
        <f>IF($F27&lt;=2009,0,IF($F27&lt;=2010,(($F27-2009)/1)^3/6,IF($F27&lt;=2011,2/3-((($F27-2009)/1)-2)^2-0.5*((($F27-2009)/1)-2)^3,IF($F27&lt;=2012,2/3-((($F27-2009)/1)-2)^2+0.5*((($F27-2009)/1)-2)^3,IF($F27&lt;=2013,(4-(($F27-2009)/1))^3/6,0)))))</f>
        <v>0</v>
      </c>
      <c r="AC27" s="16">
        <f>IF($F27&lt;=2010,0,IF($F27&lt;=2011,(($F27-2010)/1)^3/6,IF($F27&lt;=2012,2/3-((($F27-2010)/1)-2)^2-0.5*((($F27-2010)/1)-2)^3,IF($F27&lt;=2013,2/3-((($F27-2010)/1)-2)^2+0.5*((($F27-2010)/1)-2)^3,IF($F27&lt;=2014,(4-(($F27-2010)/1))^3/6,0)))))</f>
        <v>0</v>
      </c>
      <c r="AD27" s="16">
        <f>IF($F27&lt;=2011,0,IF($F27&lt;=2012,(($F27-2011)/1)^3/6,IF($F27&lt;=2013,2/3-((($F27-2011)/1)-2)^2-0.5*((($F27-2011)/1)-2)^3,IF($F27&lt;=2014,2/3-((($F27-2011)/1)-2)^2+0.5*((($F27-2011)/1)-2)^3,IF($F27&lt;=2015,(4-(($F27-2011)/1))^3/6,0)))))</f>
        <v>0</v>
      </c>
      <c r="AE27" s="16">
        <f>IF($F27&lt;=2012,0,IF($F27&lt;=2013,(($F27-2012)/1)^3/6,IF($F27&lt;=2014,2/3-((($F27-2012)/1)-2)^2-0.5*((($F27-2012)/1)-2)^3,IF($F27&lt;=2015,2/3-((($F27-2012)/1)-2)^2+0.5*((($F27-2012)/1)-2)^3,IF($F27&lt;=2016,(4-(($F27-2012)/1))^3/6,0)))))</f>
        <v>0.16666666666666699</v>
      </c>
      <c r="AF27" s="16">
        <f>IF($F27&lt;=2013,0,IF($F27&lt;=2014,(($F27-2013)/1)^3/6,IF($F27&lt;=2015,2/3-((($F27-2013)/1)-2)^2-0.5*((($F27-2013)/1)-2)^3,IF($F27&lt;=2016,2/3-((($F27-2013)/1)-2)^2+0.5*((($F27-2013)/1)-2)^3,IF($F27&lt;=2017,(4-(($F27-2013)/1))^3/6,0)))))</f>
        <v>0.66666666666666696</v>
      </c>
      <c r="AG27" s="16">
        <f>IF($F27&lt;=2014,0,IF($F27&lt;=2015,(($F27-2014)/1)^3/6,IF($F27&lt;=2016,2/3-((($F27-2014)/1)-2)^2-0.5*((($F27-2014)/1)-2)^3,IF($F27&lt;=2017,2/3-((($F27-2014)/1)-2)^2+0.5*((($F27-2014)/1)-2)^3,IF($F27&lt;=2018,(4-(($F27-2014)/1))^3/6,0)))))</f>
        <v>0.16666666666666699</v>
      </c>
      <c r="AH27" s="16">
        <f>IF($F27&lt;=2015,0,IF($F27&lt;=2016,(($F27-2015)/1)^3/6,IF($F27&lt;=2017,2/3-((($F27-2015)/1)-2)^2-0.5*((($F27-2015)/1)-2)^3,IF($F27&lt;=2018,2/3-((($F27-2015)/1)-2)^2+0.5*((($F27-2015)/1)-2)^3,IF($F27&lt;=2019,(4-(($F27-2015)/1))^3/6,0)))))</f>
        <v>0</v>
      </c>
      <c r="AI27" s="16">
        <f>IF($F27&lt;=2016,0,IF($F27&lt;=2017,(($F27-2016)/1)^3/6,IF($F27&lt;=2018,2/3-((($F27-2016)/1)-2)^2-0.5*((($F27-2016)/1)-2)^3,IF($F27&lt;=2019,2/3-((($F27-2016)/1)-2)^2+0.5*((($F27-2016)/1)-2)^3,IF($F27&lt;=2020,(4-(($F27-2016)/1))^3/6,0)))))</f>
        <v>0</v>
      </c>
      <c r="AJ27" s="16">
        <f>IF($F27&lt;=2017,0,IF($F27&lt;=2018,(($F27-2017)/1)^3/6,IF($F27&lt;=2019,2/3-((($F27-2017)/1)-2)^2-0.5*((($F27-2017)/1)-2)^3,IF($F27&lt;=2020,2/3-((($F27-2017)/1)-2)^2+0.5*((($F27-2017)/1)-2)^3,IF($F27&lt;=2021,(4-(($F27-2017)/1))^3/6,0)))))</f>
        <v>0</v>
      </c>
      <c r="AK27" s="16">
        <f>IF($F27&lt;=2018,0,IF($F27&lt;=2019,(($F27-2018)/1)^3/6,IF($F27&lt;=2020,2/3-((($F27-2018)/1)-2)^2-0.5*((($F27-2018)/1)-2)^3,IF($F27&lt;=2021,2/3-((($F27-2018)/1)-2)^2+0.5*((($F27-2018)/1)-2)^3,IF($F27&lt;=2022,(4-(($F27-2018)/1))^3/6,0)))))</f>
        <v>0</v>
      </c>
    </row>
    <row r="28">
      <c r="A28" s="18" t="n">
        <v>2013</v>
      </c>
      <c r="B28" s="16">
        <f>2*B27-B26</f>
        <v>-7.8461357610885303</v>
      </c>
      <c r="C28" s="16">
        <f>B28-B27</f>
        <v>-0.040855414788505399</v>
      </c>
      <c r="D28" s="16">
        <f>C28-C27</f>
        <v>0</v>
      </c>
      <c r="F28" s="18" t="n">
        <v>2016</v>
      </c>
      <c r="G28" s="16">
        <f>'M_70_t'!B23</f>
        <v>0.00049105417911107405</v>
      </c>
      <c r="H28" s="16">
        <f>SUMPRODUCT(K28:AK28,$K$5:$AK$5)</f>
        <v>-7.8869911758770401</v>
      </c>
      <c r="I28" s="16">
        <f>EXP(H28)</f>
        <v>0.00037559798481868101</v>
      </c>
      <c r="J28" s="15" t="inlineStr">
        <is>
          <t>Projected</t>
        </is>
      </c>
      <c r="K28" s="16">
        <f>IF($F28&lt;=1992,0,IF($F28&lt;=1993,(($F28-1992)/1)^3/6,IF($F28&lt;=1994,2/3-((($F28-1992)/1)-2)^2-0.5*((($F28-1992)/1)-2)^3,IF($F28&lt;=1995,2/3-((($F28-1992)/1)-2)^2+0.5*((($F28-1992)/1)-2)^3,IF($F28&lt;=1996,(4-(($F28-1992)/1))^3/6,0)))))</f>
        <v>0</v>
      </c>
      <c r="L28" s="16">
        <f>IF($F28&lt;=1993,0,IF($F28&lt;=1994,(($F28-1993)/1)^3/6,IF($F28&lt;=1995,2/3-((($F28-1993)/1)-2)^2-0.5*((($F28-1993)/1)-2)^3,IF($F28&lt;=1996,2/3-((($F28-1993)/1)-2)^2+0.5*((($F28-1993)/1)-2)^3,IF($F28&lt;=1997,(4-(($F28-1993)/1))^3/6,0)))))</f>
        <v>0</v>
      </c>
      <c r="M28" s="16">
        <f>IF($F28&lt;=1994,0,IF($F28&lt;=1995,(($F28-1994)/1)^3/6,IF($F28&lt;=1996,2/3-((($F28-1994)/1)-2)^2-0.5*((($F28-1994)/1)-2)^3,IF($F28&lt;=1997,2/3-((($F28-1994)/1)-2)^2+0.5*((($F28-1994)/1)-2)^3,IF($F28&lt;=1998,(4-(($F28-1994)/1))^3/6,0)))))</f>
        <v>0</v>
      </c>
      <c r="N28" s="16">
        <f>IF($F28&lt;=1995,0,IF($F28&lt;=1996,(($F28-1995)/1)^3/6,IF($F28&lt;=1997,2/3-((($F28-1995)/1)-2)^2-0.5*((($F28-1995)/1)-2)^3,IF($F28&lt;=1998,2/3-((($F28-1995)/1)-2)^2+0.5*((($F28-1995)/1)-2)^3,IF($F28&lt;=1999,(4-(($F28-1995)/1))^3/6,0)))))</f>
        <v>0</v>
      </c>
      <c r="O28" s="16">
        <f>IF($F28&lt;=1996,0,IF($F28&lt;=1997,(($F28-1996)/1)^3/6,IF($F28&lt;=1998,2/3-((($F28-1996)/1)-2)^2-0.5*((($F28-1996)/1)-2)^3,IF($F28&lt;=1999,2/3-((($F28-1996)/1)-2)^2+0.5*((($F28-1996)/1)-2)^3,IF($F28&lt;=2000,(4-(($F28-1996)/1))^3/6,0)))))</f>
        <v>0</v>
      </c>
      <c r="P28" s="16">
        <f>IF($F28&lt;=1997,0,IF($F28&lt;=1998,(($F28-1997)/1)^3/6,IF($F28&lt;=1999,2/3-((($F28-1997)/1)-2)^2-0.5*((($F28-1997)/1)-2)^3,IF($F28&lt;=2000,2/3-((($F28-1997)/1)-2)^2+0.5*((($F28-1997)/1)-2)^3,IF($F28&lt;=2001,(4-(($F28-1997)/1))^3/6,0)))))</f>
        <v>0</v>
      </c>
      <c r="Q28" s="16">
        <f>IF($F28&lt;=1998,0,IF($F28&lt;=1999,(($F28-1998)/1)^3/6,IF($F28&lt;=2000,2/3-((($F28-1998)/1)-2)^2-0.5*((($F28-1998)/1)-2)^3,IF($F28&lt;=2001,2/3-((($F28-1998)/1)-2)^2+0.5*((($F28-1998)/1)-2)^3,IF($F28&lt;=2002,(4-(($F28-1998)/1))^3/6,0)))))</f>
        <v>0</v>
      </c>
      <c r="R28" s="16">
        <f>IF($F28&lt;=1999,0,IF($F28&lt;=2000,(($F28-1999)/1)^3/6,IF($F28&lt;=2001,2/3-((($F28-1999)/1)-2)^2-0.5*((($F28-1999)/1)-2)^3,IF($F28&lt;=2002,2/3-((($F28-1999)/1)-2)^2+0.5*((($F28-1999)/1)-2)^3,IF($F28&lt;=2003,(4-(($F28-1999)/1))^3/6,0)))))</f>
        <v>0</v>
      </c>
      <c r="S28" s="16">
        <f>IF($F28&lt;=2000,0,IF($F28&lt;=2001,(($F28-2000)/1)^3/6,IF($F28&lt;=2002,2/3-((($F28-2000)/1)-2)^2-0.5*((($F28-2000)/1)-2)^3,IF($F28&lt;=2003,2/3-((($F28-2000)/1)-2)^2+0.5*((($F28-2000)/1)-2)^3,IF($F28&lt;=2004,(4-(($F28-2000)/1))^3/6,0)))))</f>
        <v>0</v>
      </c>
      <c r="T28" s="16">
        <f>IF($F28&lt;=2001,0,IF($F28&lt;=2002,(($F28-2001)/1)^3/6,IF($F28&lt;=2003,2/3-((($F28-2001)/1)-2)^2-0.5*((($F28-2001)/1)-2)^3,IF($F28&lt;=2004,2/3-((($F28-2001)/1)-2)^2+0.5*((($F28-2001)/1)-2)^3,IF($F28&lt;=2005,(4-(($F28-2001)/1))^3/6,0)))))</f>
        <v>0</v>
      </c>
      <c r="U28" s="16">
        <f>IF($F28&lt;=2002,0,IF($F28&lt;=2003,(($F28-2002)/1)^3/6,IF($F28&lt;=2004,2/3-((($F28-2002)/1)-2)^2-0.5*((($F28-2002)/1)-2)^3,IF($F28&lt;=2005,2/3-((($F28-2002)/1)-2)^2+0.5*((($F28-2002)/1)-2)^3,IF($F28&lt;=2006,(4-(($F28-2002)/1))^3/6,0)))))</f>
        <v>0</v>
      </c>
      <c r="V28" s="16">
        <f>IF($F28&lt;=2003,0,IF($F28&lt;=2004,(($F28-2003)/1)^3/6,IF($F28&lt;=2005,2/3-((($F28-2003)/1)-2)^2-0.5*((($F28-2003)/1)-2)^3,IF($F28&lt;=2006,2/3-((($F28-2003)/1)-2)^2+0.5*((($F28-2003)/1)-2)^3,IF($F28&lt;=2007,(4-(($F28-2003)/1))^3/6,0)))))</f>
        <v>0</v>
      </c>
      <c r="W28" s="16">
        <f>IF($F28&lt;=2004,0,IF($F28&lt;=2005,(($F28-2004)/1)^3/6,IF($F28&lt;=2006,2/3-((($F28-2004)/1)-2)^2-0.5*((($F28-2004)/1)-2)^3,IF($F28&lt;=2007,2/3-((($F28-2004)/1)-2)^2+0.5*((($F28-2004)/1)-2)^3,IF($F28&lt;=2008,(4-(($F28-2004)/1))^3/6,0)))))</f>
        <v>0</v>
      </c>
      <c r="X28" s="16">
        <f>IF($F28&lt;=2005,0,IF($F28&lt;=2006,(($F28-2005)/1)^3/6,IF($F28&lt;=2007,2/3-((($F28-2005)/1)-2)^2-0.5*((($F28-2005)/1)-2)^3,IF($F28&lt;=2008,2/3-((($F28-2005)/1)-2)^2+0.5*((($F28-2005)/1)-2)^3,IF($F28&lt;=2009,(4-(($F28-2005)/1))^3/6,0)))))</f>
        <v>0</v>
      </c>
      <c r="Y28" s="16">
        <f>IF($F28&lt;=2006,0,IF($F28&lt;=2007,(($F28-2006)/1)^3/6,IF($F28&lt;=2008,2/3-((($F28-2006)/1)-2)^2-0.5*((($F28-2006)/1)-2)^3,IF($F28&lt;=2009,2/3-((($F28-2006)/1)-2)^2+0.5*((($F28-2006)/1)-2)^3,IF($F28&lt;=2010,(4-(($F28-2006)/1))^3/6,0)))))</f>
        <v>0</v>
      </c>
      <c r="Z28" s="16">
        <f>IF($F28&lt;=2007,0,IF($F28&lt;=2008,(($F28-2007)/1)^3/6,IF($F28&lt;=2009,2/3-((($F28-2007)/1)-2)^2-0.5*((($F28-2007)/1)-2)^3,IF($F28&lt;=2010,2/3-((($F28-2007)/1)-2)^2+0.5*((($F28-2007)/1)-2)^3,IF($F28&lt;=2011,(4-(($F28-2007)/1))^3/6,0)))))</f>
        <v>0</v>
      </c>
      <c r="AA28" s="16">
        <f>IF($F28&lt;=2008,0,IF($F28&lt;=2009,(($F28-2008)/1)^3/6,IF($F28&lt;=2010,2/3-((($F28-2008)/1)-2)^2-0.5*((($F28-2008)/1)-2)^3,IF($F28&lt;=2011,2/3-((($F28-2008)/1)-2)^2+0.5*((($F28-2008)/1)-2)^3,IF($F28&lt;=2012,(4-(($F28-2008)/1))^3/6,0)))))</f>
        <v>0</v>
      </c>
      <c r="AB28" s="16">
        <f>IF($F28&lt;=2009,0,IF($F28&lt;=2010,(($F28-2009)/1)^3/6,IF($F28&lt;=2011,2/3-((($F28-2009)/1)-2)^2-0.5*((($F28-2009)/1)-2)^3,IF($F28&lt;=2012,2/3-((($F28-2009)/1)-2)^2+0.5*((($F28-2009)/1)-2)^3,IF($F28&lt;=2013,(4-(($F28-2009)/1))^3/6,0)))))</f>
        <v>0</v>
      </c>
      <c r="AC28" s="16">
        <f>IF($F28&lt;=2010,0,IF($F28&lt;=2011,(($F28-2010)/1)^3/6,IF($F28&lt;=2012,2/3-((($F28-2010)/1)-2)^2-0.5*((($F28-2010)/1)-2)^3,IF($F28&lt;=2013,2/3-((($F28-2010)/1)-2)^2+0.5*((($F28-2010)/1)-2)^3,IF($F28&lt;=2014,(4-(($F28-2010)/1))^3/6,0)))))</f>
        <v>0</v>
      </c>
      <c r="AD28" s="16">
        <f>IF($F28&lt;=2011,0,IF($F28&lt;=2012,(($F28-2011)/1)^3/6,IF($F28&lt;=2013,2/3-((($F28-2011)/1)-2)^2-0.5*((($F28-2011)/1)-2)^3,IF($F28&lt;=2014,2/3-((($F28-2011)/1)-2)^2+0.5*((($F28-2011)/1)-2)^3,IF($F28&lt;=2015,(4-(($F28-2011)/1))^3/6,0)))))</f>
        <v>0</v>
      </c>
      <c r="AE28" s="16">
        <f>IF($F28&lt;=2012,0,IF($F28&lt;=2013,(($F28-2012)/1)^3/6,IF($F28&lt;=2014,2/3-((($F28-2012)/1)-2)^2-0.5*((($F28-2012)/1)-2)^3,IF($F28&lt;=2015,2/3-((($F28-2012)/1)-2)^2+0.5*((($F28-2012)/1)-2)^3,IF($F28&lt;=2016,(4-(($F28-2012)/1))^3/6,0)))))</f>
        <v>0</v>
      </c>
      <c r="AF28" s="16">
        <f>IF($F28&lt;=2013,0,IF($F28&lt;=2014,(($F28-2013)/1)^3/6,IF($F28&lt;=2015,2/3-((($F28-2013)/1)-2)^2-0.5*((($F28-2013)/1)-2)^3,IF($F28&lt;=2016,2/3-((($F28-2013)/1)-2)^2+0.5*((($F28-2013)/1)-2)^3,IF($F28&lt;=2017,(4-(($F28-2013)/1))^3/6,0)))))</f>
        <v>0.16666666666666699</v>
      </c>
      <c r="AG28" s="16">
        <f>IF($F28&lt;=2014,0,IF($F28&lt;=2015,(($F28-2014)/1)^3/6,IF($F28&lt;=2016,2/3-((($F28-2014)/1)-2)^2-0.5*((($F28-2014)/1)-2)^3,IF($F28&lt;=2017,2/3-((($F28-2014)/1)-2)^2+0.5*((($F28-2014)/1)-2)^3,IF($F28&lt;=2018,(4-(($F28-2014)/1))^3/6,0)))))</f>
        <v>0.66666666666666696</v>
      </c>
      <c r="AH28" s="16">
        <f>IF($F28&lt;=2015,0,IF($F28&lt;=2016,(($F28-2015)/1)^3/6,IF($F28&lt;=2017,2/3-((($F28-2015)/1)-2)^2-0.5*((($F28-2015)/1)-2)^3,IF($F28&lt;=2018,2/3-((($F28-2015)/1)-2)^2+0.5*((($F28-2015)/1)-2)^3,IF($F28&lt;=2019,(4-(($F28-2015)/1))^3/6,0)))))</f>
        <v>0.16666666666666699</v>
      </c>
      <c r="AI28" s="16">
        <f>IF($F28&lt;=2016,0,IF($F28&lt;=2017,(($F28-2016)/1)^3/6,IF($F28&lt;=2018,2/3-((($F28-2016)/1)-2)^2-0.5*((($F28-2016)/1)-2)^3,IF($F28&lt;=2019,2/3-((($F28-2016)/1)-2)^2+0.5*((($F28-2016)/1)-2)^3,IF($F28&lt;=2020,(4-(($F28-2016)/1))^3/6,0)))))</f>
        <v>0</v>
      </c>
      <c r="AJ28" s="16">
        <f>IF($F28&lt;=2017,0,IF($F28&lt;=2018,(($F28-2017)/1)^3/6,IF($F28&lt;=2019,2/3-((($F28-2017)/1)-2)^2-0.5*((($F28-2017)/1)-2)^3,IF($F28&lt;=2020,2/3-((($F28-2017)/1)-2)^2+0.5*((($F28-2017)/1)-2)^3,IF($F28&lt;=2021,(4-(($F28-2017)/1))^3/6,0)))))</f>
        <v>0</v>
      </c>
      <c r="AK28" s="16">
        <f>IF($F28&lt;=2018,0,IF($F28&lt;=2019,(($F28-2018)/1)^3/6,IF($F28&lt;=2020,2/3-((($F28-2018)/1)-2)^2-0.5*((($F28-2018)/1)-2)^3,IF($F28&lt;=2021,2/3-((($F28-2018)/1)-2)^2+0.5*((($F28-2018)/1)-2)^3,IF($F28&lt;=2022,(4-(($F28-2018)/1))^3/6,0)))))</f>
        <v>0</v>
      </c>
    </row>
    <row r="29">
      <c r="A29" s="18" t="n">
        <v>2014</v>
      </c>
      <c r="B29" s="16">
        <f>2*B28-B27</f>
        <v>-7.8869911758770401</v>
      </c>
      <c r="C29" s="16">
        <f>B29-B28</f>
        <v>-0.040855414788505399</v>
      </c>
      <c r="D29" s="16">
        <f>C29-C28</f>
        <v>0</v>
      </c>
      <c r="F29" s="18" t="n">
        <v>2017</v>
      </c>
      <c r="G29" s="16">
        <f>'M_70_t'!B24</f>
        <v>0.000460024326747511</v>
      </c>
      <c r="H29" s="16">
        <f>SUMPRODUCT(K29:AK29,$K$5:$AK$5)</f>
        <v>-7.9278465906655402</v>
      </c>
      <c r="I29" s="16">
        <f>EXP(H29)</f>
        <v>0.000360562015145306</v>
      </c>
      <c r="J29" s="15" t="inlineStr">
        <is>
          <t>Projected</t>
        </is>
      </c>
      <c r="K29" s="16">
        <f>IF($F29&lt;=1992,0,IF($F29&lt;=1993,(($F29-1992)/1)^3/6,IF($F29&lt;=1994,2/3-((($F29-1992)/1)-2)^2-0.5*((($F29-1992)/1)-2)^3,IF($F29&lt;=1995,2/3-((($F29-1992)/1)-2)^2+0.5*((($F29-1992)/1)-2)^3,IF($F29&lt;=1996,(4-(($F29-1992)/1))^3/6,0)))))</f>
        <v>0</v>
      </c>
      <c r="L29" s="16">
        <f>IF($F29&lt;=1993,0,IF($F29&lt;=1994,(($F29-1993)/1)^3/6,IF($F29&lt;=1995,2/3-((($F29-1993)/1)-2)^2-0.5*((($F29-1993)/1)-2)^3,IF($F29&lt;=1996,2/3-((($F29-1993)/1)-2)^2+0.5*((($F29-1993)/1)-2)^3,IF($F29&lt;=1997,(4-(($F29-1993)/1))^3/6,0)))))</f>
        <v>0</v>
      </c>
      <c r="M29" s="16">
        <f>IF($F29&lt;=1994,0,IF($F29&lt;=1995,(($F29-1994)/1)^3/6,IF($F29&lt;=1996,2/3-((($F29-1994)/1)-2)^2-0.5*((($F29-1994)/1)-2)^3,IF($F29&lt;=1997,2/3-((($F29-1994)/1)-2)^2+0.5*((($F29-1994)/1)-2)^3,IF($F29&lt;=1998,(4-(($F29-1994)/1))^3/6,0)))))</f>
        <v>0</v>
      </c>
      <c r="N29" s="16">
        <f>IF($F29&lt;=1995,0,IF($F29&lt;=1996,(($F29-1995)/1)^3/6,IF($F29&lt;=1997,2/3-((($F29-1995)/1)-2)^2-0.5*((($F29-1995)/1)-2)^3,IF($F29&lt;=1998,2/3-((($F29-1995)/1)-2)^2+0.5*((($F29-1995)/1)-2)^3,IF($F29&lt;=1999,(4-(($F29-1995)/1))^3/6,0)))))</f>
        <v>0</v>
      </c>
      <c r="O29" s="16">
        <f>IF($F29&lt;=1996,0,IF($F29&lt;=1997,(($F29-1996)/1)^3/6,IF($F29&lt;=1998,2/3-((($F29-1996)/1)-2)^2-0.5*((($F29-1996)/1)-2)^3,IF($F29&lt;=1999,2/3-((($F29-1996)/1)-2)^2+0.5*((($F29-1996)/1)-2)^3,IF($F29&lt;=2000,(4-(($F29-1996)/1))^3/6,0)))))</f>
        <v>0</v>
      </c>
      <c r="P29" s="16">
        <f>IF($F29&lt;=1997,0,IF($F29&lt;=1998,(($F29-1997)/1)^3/6,IF($F29&lt;=1999,2/3-((($F29-1997)/1)-2)^2-0.5*((($F29-1997)/1)-2)^3,IF($F29&lt;=2000,2/3-((($F29-1997)/1)-2)^2+0.5*((($F29-1997)/1)-2)^3,IF($F29&lt;=2001,(4-(($F29-1997)/1))^3/6,0)))))</f>
        <v>0</v>
      </c>
      <c r="Q29" s="16">
        <f>IF($F29&lt;=1998,0,IF($F29&lt;=1999,(($F29-1998)/1)^3/6,IF($F29&lt;=2000,2/3-((($F29-1998)/1)-2)^2-0.5*((($F29-1998)/1)-2)^3,IF($F29&lt;=2001,2/3-((($F29-1998)/1)-2)^2+0.5*((($F29-1998)/1)-2)^3,IF($F29&lt;=2002,(4-(($F29-1998)/1))^3/6,0)))))</f>
        <v>0</v>
      </c>
      <c r="R29" s="16">
        <f>IF($F29&lt;=1999,0,IF($F29&lt;=2000,(($F29-1999)/1)^3/6,IF($F29&lt;=2001,2/3-((($F29-1999)/1)-2)^2-0.5*((($F29-1999)/1)-2)^3,IF($F29&lt;=2002,2/3-((($F29-1999)/1)-2)^2+0.5*((($F29-1999)/1)-2)^3,IF($F29&lt;=2003,(4-(($F29-1999)/1))^3/6,0)))))</f>
        <v>0</v>
      </c>
      <c r="S29" s="16">
        <f>IF($F29&lt;=2000,0,IF($F29&lt;=2001,(($F29-2000)/1)^3/6,IF($F29&lt;=2002,2/3-((($F29-2000)/1)-2)^2-0.5*((($F29-2000)/1)-2)^3,IF($F29&lt;=2003,2/3-((($F29-2000)/1)-2)^2+0.5*((($F29-2000)/1)-2)^3,IF($F29&lt;=2004,(4-(($F29-2000)/1))^3/6,0)))))</f>
        <v>0</v>
      </c>
      <c r="T29" s="16">
        <f>IF($F29&lt;=2001,0,IF($F29&lt;=2002,(($F29-2001)/1)^3/6,IF($F29&lt;=2003,2/3-((($F29-2001)/1)-2)^2-0.5*((($F29-2001)/1)-2)^3,IF($F29&lt;=2004,2/3-((($F29-2001)/1)-2)^2+0.5*((($F29-2001)/1)-2)^3,IF($F29&lt;=2005,(4-(($F29-2001)/1))^3/6,0)))))</f>
        <v>0</v>
      </c>
      <c r="U29" s="16">
        <f>IF($F29&lt;=2002,0,IF($F29&lt;=2003,(($F29-2002)/1)^3/6,IF($F29&lt;=2004,2/3-((($F29-2002)/1)-2)^2-0.5*((($F29-2002)/1)-2)^3,IF($F29&lt;=2005,2/3-((($F29-2002)/1)-2)^2+0.5*((($F29-2002)/1)-2)^3,IF($F29&lt;=2006,(4-(($F29-2002)/1))^3/6,0)))))</f>
        <v>0</v>
      </c>
      <c r="V29" s="16">
        <f>IF($F29&lt;=2003,0,IF($F29&lt;=2004,(($F29-2003)/1)^3/6,IF($F29&lt;=2005,2/3-((($F29-2003)/1)-2)^2-0.5*((($F29-2003)/1)-2)^3,IF($F29&lt;=2006,2/3-((($F29-2003)/1)-2)^2+0.5*((($F29-2003)/1)-2)^3,IF($F29&lt;=2007,(4-(($F29-2003)/1))^3/6,0)))))</f>
        <v>0</v>
      </c>
      <c r="W29" s="16">
        <f>IF($F29&lt;=2004,0,IF($F29&lt;=2005,(($F29-2004)/1)^3/6,IF($F29&lt;=2006,2/3-((($F29-2004)/1)-2)^2-0.5*((($F29-2004)/1)-2)^3,IF($F29&lt;=2007,2/3-((($F29-2004)/1)-2)^2+0.5*((($F29-2004)/1)-2)^3,IF($F29&lt;=2008,(4-(($F29-2004)/1))^3/6,0)))))</f>
        <v>0</v>
      </c>
      <c r="X29" s="16">
        <f>IF($F29&lt;=2005,0,IF($F29&lt;=2006,(($F29-2005)/1)^3/6,IF($F29&lt;=2007,2/3-((($F29-2005)/1)-2)^2-0.5*((($F29-2005)/1)-2)^3,IF($F29&lt;=2008,2/3-((($F29-2005)/1)-2)^2+0.5*((($F29-2005)/1)-2)^3,IF($F29&lt;=2009,(4-(($F29-2005)/1))^3/6,0)))))</f>
        <v>0</v>
      </c>
      <c r="Y29" s="16">
        <f>IF($F29&lt;=2006,0,IF($F29&lt;=2007,(($F29-2006)/1)^3/6,IF($F29&lt;=2008,2/3-((($F29-2006)/1)-2)^2-0.5*((($F29-2006)/1)-2)^3,IF($F29&lt;=2009,2/3-((($F29-2006)/1)-2)^2+0.5*((($F29-2006)/1)-2)^3,IF($F29&lt;=2010,(4-(($F29-2006)/1))^3/6,0)))))</f>
        <v>0</v>
      </c>
      <c r="Z29" s="16">
        <f>IF($F29&lt;=2007,0,IF($F29&lt;=2008,(($F29-2007)/1)^3/6,IF($F29&lt;=2009,2/3-((($F29-2007)/1)-2)^2-0.5*((($F29-2007)/1)-2)^3,IF($F29&lt;=2010,2/3-((($F29-2007)/1)-2)^2+0.5*((($F29-2007)/1)-2)^3,IF($F29&lt;=2011,(4-(($F29-2007)/1))^3/6,0)))))</f>
        <v>0</v>
      </c>
      <c r="AA29" s="16">
        <f>IF($F29&lt;=2008,0,IF($F29&lt;=2009,(($F29-2008)/1)^3/6,IF($F29&lt;=2010,2/3-((($F29-2008)/1)-2)^2-0.5*((($F29-2008)/1)-2)^3,IF($F29&lt;=2011,2/3-((($F29-2008)/1)-2)^2+0.5*((($F29-2008)/1)-2)^3,IF($F29&lt;=2012,(4-(($F29-2008)/1))^3/6,0)))))</f>
        <v>0</v>
      </c>
      <c r="AB29" s="16">
        <f>IF($F29&lt;=2009,0,IF($F29&lt;=2010,(($F29-2009)/1)^3/6,IF($F29&lt;=2011,2/3-((($F29-2009)/1)-2)^2-0.5*((($F29-2009)/1)-2)^3,IF($F29&lt;=2012,2/3-((($F29-2009)/1)-2)^2+0.5*((($F29-2009)/1)-2)^3,IF($F29&lt;=2013,(4-(($F29-2009)/1))^3/6,0)))))</f>
        <v>0</v>
      </c>
      <c r="AC29" s="16">
        <f>IF($F29&lt;=2010,0,IF($F29&lt;=2011,(($F29-2010)/1)^3/6,IF($F29&lt;=2012,2/3-((($F29-2010)/1)-2)^2-0.5*((($F29-2010)/1)-2)^3,IF($F29&lt;=2013,2/3-((($F29-2010)/1)-2)^2+0.5*((($F29-2010)/1)-2)^3,IF($F29&lt;=2014,(4-(($F29-2010)/1))^3/6,0)))))</f>
        <v>0</v>
      </c>
      <c r="AD29" s="16">
        <f>IF($F29&lt;=2011,0,IF($F29&lt;=2012,(($F29-2011)/1)^3/6,IF($F29&lt;=2013,2/3-((($F29-2011)/1)-2)^2-0.5*((($F29-2011)/1)-2)^3,IF($F29&lt;=2014,2/3-((($F29-2011)/1)-2)^2+0.5*((($F29-2011)/1)-2)^3,IF($F29&lt;=2015,(4-(($F29-2011)/1))^3/6,0)))))</f>
        <v>0</v>
      </c>
      <c r="AE29" s="16">
        <f>IF($F29&lt;=2012,0,IF($F29&lt;=2013,(($F29-2012)/1)^3/6,IF($F29&lt;=2014,2/3-((($F29-2012)/1)-2)^2-0.5*((($F29-2012)/1)-2)^3,IF($F29&lt;=2015,2/3-((($F29-2012)/1)-2)^2+0.5*((($F29-2012)/1)-2)^3,IF($F29&lt;=2016,(4-(($F29-2012)/1))^3/6,0)))))</f>
        <v>0</v>
      </c>
      <c r="AF29" s="16">
        <f>IF($F29&lt;=2013,0,IF($F29&lt;=2014,(($F29-2013)/1)^3/6,IF($F29&lt;=2015,2/3-((($F29-2013)/1)-2)^2-0.5*((($F29-2013)/1)-2)^3,IF($F29&lt;=2016,2/3-((($F29-2013)/1)-2)^2+0.5*((($F29-2013)/1)-2)^3,IF($F29&lt;=2017,(4-(($F29-2013)/1))^3/6,0)))))</f>
        <v>0</v>
      </c>
      <c r="AG29" s="16">
        <f>IF($F29&lt;=2014,0,IF($F29&lt;=2015,(($F29-2014)/1)^3/6,IF($F29&lt;=2016,2/3-((($F29-2014)/1)-2)^2-0.5*((($F29-2014)/1)-2)^3,IF($F29&lt;=2017,2/3-((($F29-2014)/1)-2)^2+0.5*((($F29-2014)/1)-2)^3,IF($F29&lt;=2018,(4-(($F29-2014)/1))^3/6,0)))))</f>
        <v>0.16666666666666699</v>
      </c>
      <c r="AH29" s="16">
        <f>IF($F29&lt;=2015,0,IF($F29&lt;=2016,(($F29-2015)/1)^3/6,IF($F29&lt;=2017,2/3-((($F29-2015)/1)-2)^2-0.5*((($F29-2015)/1)-2)^3,IF($F29&lt;=2018,2/3-((($F29-2015)/1)-2)^2+0.5*((($F29-2015)/1)-2)^3,IF($F29&lt;=2019,(4-(($F29-2015)/1))^3/6,0)))))</f>
        <v>0.66666666666666696</v>
      </c>
      <c r="AI29" s="16">
        <f>IF($F29&lt;=2016,0,IF($F29&lt;=2017,(($F29-2016)/1)^3/6,IF($F29&lt;=2018,2/3-((($F29-2016)/1)-2)^2-0.5*((($F29-2016)/1)-2)^3,IF($F29&lt;=2019,2/3-((($F29-2016)/1)-2)^2+0.5*((($F29-2016)/1)-2)^3,IF($F29&lt;=2020,(4-(($F29-2016)/1))^3/6,0)))))</f>
        <v>0.16666666666666699</v>
      </c>
      <c r="AJ29" s="16">
        <f>IF($F29&lt;=2017,0,IF($F29&lt;=2018,(($F29-2017)/1)^3/6,IF($F29&lt;=2019,2/3-((($F29-2017)/1)-2)^2-0.5*((($F29-2017)/1)-2)^3,IF($F29&lt;=2020,2/3-((($F29-2017)/1)-2)^2+0.5*((($F29-2017)/1)-2)^3,IF($F29&lt;=2021,(4-(($F29-2017)/1))^3/6,0)))))</f>
        <v>0</v>
      </c>
      <c r="AK29" s="16">
        <f>IF($F29&lt;=2018,0,IF($F29&lt;=2019,(($F29-2018)/1)^3/6,IF($F29&lt;=2020,2/3-((($F29-2018)/1)-2)^2-0.5*((($F29-2018)/1)-2)^3,IF($F29&lt;=2021,2/3-((($F29-2018)/1)-2)^2+0.5*((($F29-2018)/1)-2)^3,IF($F29&lt;=2022,(4-(($F29-2018)/1))^3/6,0)))))</f>
        <v>0</v>
      </c>
    </row>
    <row r="30">
      <c r="A30" s="18" t="n">
        <v>2015</v>
      </c>
      <c r="B30" s="16">
        <f>2*B29-B28</f>
        <v>-7.9278465906655402</v>
      </c>
      <c r="C30" s="16">
        <f>B30-B29</f>
        <v>-0.040855414788505399</v>
      </c>
      <c r="D30" s="16">
        <f>C30-C29</f>
        <v>0</v>
      </c>
      <c r="F30" s="18" t="n">
        <v>2018</v>
      </c>
      <c r="G30" s="16">
        <f>'M_70_t'!B25</f>
        <v>0.000416641795239238</v>
      </c>
      <c r="H30" s="16">
        <f>SUMPRODUCT(K30:AK30,$K$5:$AK$5)</f>
        <v>-7.9687020054540501</v>
      </c>
      <c r="I30" s="16">
        <f>EXP(H30)</f>
        <v>0.00034612796665669902</v>
      </c>
      <c r="J30" s="15" t="inlineStr">
        <is>
          <t>Projected</t>
        </is>
      </c>
      <c r="K30" s="16">
        <f>IF($F30&lt;=1992,0,IF($F30&lt;=1993,(($F30-1992)/1)^3/6,IF($F30&lt;=1994,2/3-((($F30-1992)/1)-2)^2-0.5*((($F30-1992)/1)-2)^3,IF($F30&lt;=1995,2/3-((($F30-1992)/1)-2)^2+0.5*((($F30-1992)/1)-2)^3,IF($F30&lt;=1996,(4-(($F30-1992)/1))^3/6,0)))))</f>
        <v>0</v>
      </c>
      <c r="L30" s="16">
        <f>IF($F30&lt;=1993,0,IF($F30&lt;=1994,(($F30-1993)/1)^3/6,IF($F30&lt;=1995,2/3-((($F30-1993)/1)-2)^2-0.5*((($F30-1993)/1)-2)^3,IF($F30&lt;=1996,2/3-((($F30-1993)/1)-2)^2+0.5*((($F30-1993)/1)-2)^3,IF($F30&lt;=1997,(4-(($F30-1993)/1))^3/6,0)))))</f>
        <v>0</v>
      </c>
      <c r="M30" s="16">
        <f>IF($F30&lt;=1994,0,IF($F30&lt;=1995,(($F30-1994)/1)^3/6,IF($F30&lt;=1996,2/3-((($F30-1994)/1)-2)^2-0.5*((($F30-1994)/1)-2)^3,IF($F30&lt;=1997,2/3-((($F30-1994)/1)-2)^2+0.5*((($F30-1994)/1)-2)^3,IF($F30&lt;=1998,(4-(($F30-1994)/1))^3/6,0)))))</f>
        <v>0</v>
      </c>
      <c r="N30" s="16">
        <f>IF($F30&lt;=1995,0,IF($F30&lt;=1996,(($F30-1995)/1)^3/6,IF($F30&lt;=1997,2/3-((($F30-1995)/1)-2)^2-0.5*((($F30-1995)/1)-2)^3,IF($F30&lt;=1998,2/3-((($F30-1995)/1)-2)^2+0.5*((($F30-1995)/1)-2)^3,IF($F30&lt;=1999,(4-(($F30-1995)/1))^3/6,0)))))</f>
        <v>0</v>
      </c>
      <c r="O30" s="16">
        <f>IF($F30&lt;=1996,0,IF($F30&lt;=1997,(($F30-1996)/1)^3/6,IF($F30&lt;=1998,2/3-((($F30-1996)/1)-2)^2-0.5*((($F30-1996)/1)-2)^3,IF($F30&lt;=1999,2/3-((($F30-1996)/1)-2)^2+0.5*((($F30-1996)/1)-2)^3,IF($F30&lt;=2000,(4-(($F30-1996)/1))^3/6,0)))))</f>
        <v>0</v>
      </c>
      <c r="P30" s="16">
        <f>IF($F30&lt;=1997,0,IF($F30&lt;=1998,(($F30-1997)/1)^3/6,IF($F30&lt;=1999,2/3-((($F30-1997)/1)-2)^2-0.5*((($F30-1997)/1)-2)^3,IF($F30&lt;=2000,2/3-((($F30-1997)/1)-2)^2+0.5*((($F30-1997)/1)-2)^3,IF($F30&lt;=2001,(4-(($F30-1997)/1))^3/6,0)))))</f>
        <v>0</v>
      </c>
      <c r="Q30" s="16">
        <f>IF($F30&lt;=1998,0,IF($F30&lt;=1999,(($F30-1998)/1)^3/6,IF($F30&lt;=2000,2/3-((($F30-1998)/1)-2)^2-0.5*((($F30-1998)/1)-2)^3,IF($F30&lt;=2001,2/3-((($F30-1998)/1)-2)^2+0.5*((($F30-1998)/1)-2)^3,IF($F30&lt;=2002,(4-(($F30-1998)/1))^3/6,0)))))</f>
        <v>0</v>
      </c>
      <c r="R30" s="16">
        <f>IF($F30&lt;=1999,0,IF($F30&lt;=2000,(($F30-1999)/1)^3/6,IF($F30&lt;=2001,2/3-((($F30-1999)/1)-2)^2-0.5*((($F30-1999)/1)-2)^3,IF($F30&lt;=2002,2/3-((($F30-1999)/1)-2)^2+0.5*((($F30-1999)/1)-2)^3,IF($F30&lt;=2003,(4-(($F30-1999)/1))^3/6,0)))))</f>
        <v>0</v>
      </c>
      <c r="S30" s="16">
        <f>IF($F30&lt;=2000,0,IF($F30&lt;=2001,(($F30-2000)/1)^3/6,IF($F30&lt;=2002,2/3-((($F30-2000)/1)-2)^2-0.5*((($F30-2000)/1)-2)^3,IF($F30&lt;=2003,2/3-((($F30-2000)/1)-2)^2+0.5*((($F30-2000)/1)-2)^3,IF($F30&lt;=2004,(4-(($F30-2000)/1))^3/6,0)))))</f>
        <v>0</v>
      </c>
      <c r="T30" s="16">
        <f>IF($F30&lt;=2001,0,IF($F30&lt;=2002,(($F30-2001)/1)^3/6,IF($F30&lt;=2003,2/3-((($F30-2001)/1)-2)^2-0.5*((($F30-2001)/1)-2)^3,IF($F30&lt;=2004,2/3-((($F30-2001)/1)-2)^2+0.5*((($F30-2001)/1)-2)^3,IF($F30&lt;=2005,(4-(($F30-2001)/1))^3/6,0)))))</f>
        <v>0</v>
      </c>
      <c r="U30" s="16">
        <f>IF($F30&lt;=2002,0,IF($F30&lt;=2003,(($F30-2002)/1)^3/6,IF($F30&lt;=2004,2/3-((($F30-2002)/1)-2)^2-0.5*((($F30-2002)/1)-2)^3,IF($F30&lt;=2005,2/3-((($F30-2002)/1)-2)^2+0.5*((($F30-2002)/1)-2)^3,IF($F30&lt;=2006,(4-(($F30-2002)/1))^3/6,0)))))</f>
        <v>0</v>
      </c>
      <c r="V30" s="16">
        <f>IF($F30&lt;=2003,0,IF($F30&lt;=2004,(($F30-2003)/1)^3/6,IF($F30&lt;=2005,2/3-((($F30-2003)/1)-2)^2-0.5*((($F30-2003)/1)-2)^3,IF($F30&lt;=2006,2/3-((($F30-2003)/1)-2)^2+0.5*((($F30-2003)/1)-2)^3,IF($F30&lt;=2007,(4-(($F30-2003)/1))^3/6,0)))))</f>
        <v>0</v>
      </c>
      <c r="W30" s="16">
        <f>IF($F30&lt;=2004,0,IF($F30&lt;=2005,(($F30-2004)/1)^3/6,IF($F30&lt;=2006,2/3-((($F30-2004)/1)-2)^2-0.5*((($F30-2004)/1)-2)^3,IF($F30&lt;=2007,2/3-((($F30-2004)/1)-2)^2+0.5*((($F30-2004)/1)-2)^3,IF($F30&lt;=2008,(4-(($F30-2004)/1))^3/6,0)))))</f>
        <v>0</v>
      </c>
      <c r="X30" s="16">
        <f>IF($F30&lt;=2005,0,IF($F30&lt;=2006,(($F30-2005)/1)^3/6,IF($F30&lt;=2007,2/3-((($F30-2005)/1)-2)^2-0.5*((($F30-2005)/1)-2)^3,IF($F30&lt;=2008,2/3-((($F30-2005)/1)-2)^2+0.5*((($F30-2005)/1)-2)^3,IF($F30&lt;=2009,(4-(($F30-2005)/1))^3/6,0)))))</f>
        <v>0</v>
      </c>
      <c r="Y30" s="16">
        <f>IF($F30&lt;=2006,0,IF($F30&lt;=2007,(($F30-2006)/1)^3/6,IF($F30&lt;=2008,2/3-((($F30-2006)/1)-2)^2-0.5*((($F30-2006)/1)-2)^3,IF($F30&lt;=2009,2/3-((($F30-2006)/1)-2)^2+0.5*((($F30-2006)/1)-2)^3,IF($F30&lt;=2010,(4-(($F30-2006)/1))^3/6,0)))))</f>
        <v>0</v>
      </c>
      <c r="Z30" s="16">
        <f>IF($F30&lt;=2007,0,IF($F30&lt;=2008,(($F30-2007)/1)^3/6,IF($F30&lt;=2009,2/3-((($F30-2007)/1)-2)^2-0.5*((($F30-2007)/1)-2)^3,IF($F30&lt;=2010,2/3-((($F30-2007)/1)-2)^2+0.5*((($F30-2007)/1)-2)^3,IF($F30&lt;=2011,(4-(($F30-2007)/1))^3/6,0)))))</f>
        <v>0</v>
      </c>
      <c r="AA30" s="16">
        <f>IF($F30&lt;=2008,0,IF($F30&lt;=2009,(($F30-2008)/1)^3/6,IF($F30&lt;=2010,2/3-((($F30-2008)/1)-2)^2-0.5*((($F30-2008)/1)-2)^3,IF($F30&lt;=2011,2/3-((($F30-2008)/1)-2)^2+0.5*((($F30-2008)/1)-2)^3,IF($F30&lt;=2012,(4-(($F30-2008)/1))^3/6,0)))))</f>
        <v>0</v>
      </c>
      <c r="AB30" s="16">
        <f>IF($F30&lt;=2009,0,IF($F30&lt;=2010,(($F30-2009)/1)^3/6,IF($F30&lt;=2011,2/3-((($F30-2009)/1)-2)^2-0.5*((($F30-2009)/1)-2)^3,IF($F30&lt;=2012,2/3-((($F30-2009)/1)-2)^2+0.5*((($F30-2009)/1)-2)^3,IF($F30&lt;=2013,(4-(($F30-2009)/1))^3/6,0)))))</f>
        <v>0</v>
      </c>
      <c r="AC30" s="16">
        <f>IF($F30&lt;=2010,0,IF($F30&lt;=2011,(($F30-2010)/1)^3/6,IF($F30&lt;=2012,2/3-((($F30-2010)/1)-2)^2-0.5*((($F30-2010)/1)-2)^3,IF($F30&lt;=2013,2/3-((($F30-2010)/1)-2)^2+0.5*((($F30-2010)/1)-2)^3,IF($F30&lt;=2014,(4-(($F30-2010)/1))^3/6,0)))))</f>
        <v>0</v>
      </c>
      <c r="AD30" s="16">
        <f>IF($F30&lt;=2011,0,IF($F30&lt;=2012,(($F30-2011)/1)^3/6,IF($F30&lt;=2013,2/3-((($F30-2011)/1)-2)^2-0.5*((($F30-2011)/1)-2)^3,IF($F30&lt;=2014,2/3-((($F30-2011)/1)-2)^2+0.5*((($F30-2011)/1)-2)^3,IF($F30&lt;=2015,(4-(($F30-2011)/1))^3/6,0)))))</f>
        <v>0</v>
      </c>
      <c r="AE30" s="16">
        <f>IF($F30&lt;=2012,0,IF($F30&lt;=2013,(($F30-2012)/1)^3/6,IF($F30&lt;=2014,2/3-((($F30-2012)/1)-2)^2-0.5*((($F30-2012)/1)-2)^3,IF($F30&lt;=2015,2/3-((($F30-2012)/1)-2)^2+0.5*((($F30-2012)/1)-2)^3,IF($F30&lt;=2016,(4-(($F30-2012)/1))^3/6,0)))))</f>
        <v>0</v>
      </c>
      <c r="AF30" s="16">
        <f>IF($F30&lt;=2013,0,IF($F30&lt;=2014,(($F30-2013)/1)^3/6,IF($F30&lt;=2015,2/3-((($F30-2013)/1)-2)^2-0.5*((($F30-2013)/1)-2)^3,IF($F30&lt;=2016,2/3-((($F30-2013)/1)-2)^2+0.5*((($F30-2013)/1)-2)^3,IF($F30&lt;=2017,(4-(($F30-2013)/1))^3/6,0)))))</f>
        <v>0</v>
      </c>
      <c r="AG30" s="16">
        <f>IF($F30&lt;=2014,0,IF($F30&lt;=2015,(($F30-2014)/1)^3/6,IF($F30&lt;=2016,2/3-((($F30-2014)/1)-2)^2-0.5*((($F30-2014)/1)-2)^3,IF($F30&lt;=2017,2/3-((($F30-2014)/1)-2)^2+0.5*((($F30-2014)/1)-2)^3,IF($F30&lt;=2018,(4-(($F30-2014)/1))^3/6,0)))))</f>
        <v>0</v>
      </c>
      <c r="AH30" s="16">
        <f>IF($F30&lt;=2015,0,IF($F30&lt;=2016,(($F30-2015)/1)^3/6,IF($F30&lt;=2017,2/3-((($F30-2015)/1)-2)^2-0.5*((($F30-2015)/1)-2)^3,IF($F30&lt;=2018,2/3-((($F30-2015)/1)-2)^2+0.5*((($F30-2015)/1)-2)^3,IF($F30&lt;=2019,(4-(($F30-2015)/1))^3/6,0)))))</f>
        <v>0.16666666666666699</v>
      </c>
      <c r="AI30" s="16">
        <f>IF($F30&lt;=2016,0,IF($F30&lt;=2017,(($F30-2016)/1)^3/6,IF($F30&lt;=2018,2/3-((($F30-2016)/1)-2)^2-0.5*((($F30-2016)/1)-2)^3,IF($F30&lt;=2019,2/3-((($F30-2016)/1)-2)^2+0.5*((($F30-2016)/1)-2)^3,IF($F30&lt;=2020,(4-(($F30-2016)/1))^3/6,0)))))</f>
        <v>0.66666666666666696</v>
      </c>
      <c r="AJ30" s="16">
        <f>IF($F30&lt;=2017,0,IF($F30&lt;=2018,(($F30-2017)/1)^3/6,IF($F30&lt;=2019,2/3-((($F30-2017)/1)-2)^2-0.5*((($F30-2017)/1)-2)^3,IF($F30&lt;=2020,2/3-((($F30-2017)/1)-2)^2+0.5*((($F30-2017)/1)-2)^3,IF($F30&lt;=2021,(4-(($F30-2017)/1))^3/6,0)))))</f>
        <v>0.16666666666666699</v>
      </c>
      <c r="AK30" s="16">
        <f>IF($F30&lt;=2018,0,IF($F30&lt;=2019,(($F30-2018)/1)^3/6,IF($F30&lt;=2020,2/3-((($F30-2018)/1)-2)^2-0.5*((($F30-2018)/1)-2)^3,IF($F30&lt;=2021,2/3-((($F30-2018)/1)-2)^2+0.5*((($F30-2018)/1)-2)^3,IF($F30&lt;=2022,(4-(($F30-2018)/1))^3/6,0)))))</f>
        <v>0</v>
      </c>
    </row>
    <row r="31">
      <c r="A31" s="18" t="n">
        <v>2016</v>
      </c>
      <c r="B31" s="16">
        <f>2*B30-B29</f>
        <v>-7.9687020054540501</v>
      </c>
      <c r="C31" s="16">
        <f>B31-B30</f>
        <v>-0.040855414788505399</v>
      </c>
      <c r="D31" s="16">
        <f>C31-C30</f>
        <v>0</v>
      </c>
      <c r="F31" s="18" t="n">
        <v>2019</v>
      </c>
      <c r="G31" s="16">
        <f>'M_70_t'!B26</f>
        <v>0.00044343997079208703</v>
      </c>
      <c r="H31" s="16">
        <f>SUMPRODUCT(K31:AK31,$K$5:$AK$5)</f>
        <v>-8.0095574202425599</v>
      </c>
      <c r="I31" s="16">
        <f>EXP(H31)</f>
        <v>0.00033227174319407998</v>
      </c>
      <c r="J31" s="15" t="inlineStr">
        <is>
          <t>Projected</t>
        </is>
      </c>
      <c r="K31" s="16">
        <f>IF($F31&lt;=1992,0,IF($F31&lt;=1993,(($F31-1992)/1)^3/6,IF($F31&lt;=1994,2/3-((($F31-1992)/1)-2)^2-0.5*((($F31-1992)/1)-2)^3,IF($F31&lt;=1995,2/3-((($F31-1992)/1)-2)^2+0.5*((($F31-1992)/1)-2)^3,IF($F31&lt;=1996,(4-(($F31-1992)/1))^3/6,0)))))</f>
        <v>0</v>
      </c>
      <c r="L31" s="16">
        <f>IF($F31&lt;=1993,0,IF($F31&lt;=1994,(($F31-1993)/1)^3/6,IF($F31&lt;=1995,2/3-((($F31-1993)/1)-2)^2-0.5*((($F31-1993)/1)-2)^3,IF($F31&lt;=1996,2/3-((($F31-1993)/1)-2)^2+0.5*((($F31-1993)/1)-2)^3,IF($F31&lt;=1997,(4-(($F31-1993)/1))^3/6,0)))))</f>
        <v>0</v>
      </c>
      <c r="M31" s="16">
        <f>IF($F31&lt;=1994,0,IF($F31&lt;=1995,(($F31-1994)/1)^3/6,IF($F31&lt;=1996,2/3-((($F31-1994)/1)-2)^2-0.5*((($F31-1994)/1)-2)^3,IF($F31&lt;=1997,2/3-((($F31-1994)/1)-2)^2+0.5*((($F31-1994)/1)-2)^3,IF($F31&lt;=1998,(4-(($F31-1994)/1))^3/6,0)))))</f>
        <v>0</v>
      </c>
      <c r="N31" s="16">
        <f>IF($F31&lt;=1995,0,IF($F31&lt;=1996,(($F31-1995)/1)^3/6,IF($F31&lt;=1997,2/3-((($F31-1995)/1)-2)^2-0.5*((($F31-1995)/1)-2)^3,IF($F31&lt;=1998,2/3-((($F31-1995)/1)-2)^2+0.5*((($F31-1995)/1)-2)^3,IF($F31&lt;=1999,(4-(($F31-1995)/1))^3/6,0)))))</f>
        <v>0</v>
      </c>
      <c r="O31" s="16">
        <f>IF($F31&lt;=1996,0,IF($F31&lt;=1997,(($F31-1996)/1)^3/6,IF($F31&lt;=1998,2/3-((($F31-1996)/1)-2)^2-0.5*((($F31-1996)/1)-2)^3,IF($F31&lt;=1999,2/3-((($F31-1996)/1)-2)^2+0.5*((($F31-1996)/1)-2)^3,IF($F31&lt;=2000,(4-(($F31-1996)/1))^3/6,0)))))</f>
        <v>0</v>
      </c>
      <c r="P31" s="16">
        <f>IF($F31&lt;=1997,0,IF($F31&lt;=1998,(($F31-1997)/1)^3/6,IF($F31&lt;=1999,2/3-((($F31-1997)/1)-2)^2-0.5*((($F31-1997)/1)-2)^3,IF($F31&lt;=2000,2/3-((($F31-1997)/1)-2)^2+0.5*((($F31-1997)/1)-2)^3,IF($F31&lt;=2001,(4-(($F31-1997)/1))^3/6,0)))))</f>
        <v>0</v>
      </c>
      <c r="Q31" s="16">
        <f>IF($F31&lt;=1998,0,IF($F31&lt;=1999,(($F31-1998)/1)^3/6,IF($F31&lt;=2000,2/3-((($F31-1998)/1)-2)^2-0.5*((($F31-1998)/1)-2)^3,IF($F31&lt;=2001,2/3-((($F31-1998)/1)-2)^2+0.5*((($F31-1998)/1)-2)^3,IF($F31&lt;=2002,(4-(($F31-1998)/1))^3/6,0)))))</f>
        <v>0</v>
      </c>
      <c r="R31" s="16">
        <f>IF($F31&lt;=1999,0,IF($F31&lt;=2000,(($F31-1999)/1)^3/6,IF($F31&lt;=2001,2/3-((($F31-1999)/1)-2)^2-0.5*((($F31-1999)/1)-2)^3,IF($F31&lt;=2002,2/3-((($F31-1999)/1)-2)^2+0.5*((($F31-1999)/1)-2)^3,IF($F31&lt;=2003,(4-(($F31-1999)/1))^3/6,0)))))</f>
        <v>0</v>
      </c>
      <c r="S31" s="16">
        <f>IF($F31&lt;=2000,0,IF($F31&lt;=2001,(($F31-2000)/1)^3/6,IF($F31&lt;=2002,2/3-((($F31-2000)/1)-2)^2-0.5*((($F31-2000)/1)-2)^3,IF($F31&lt;=2003,2/3-((($F31-2000)/1)-2)^2+0.5*((($F31-2000)/1)-2)^3,IF($F31&lt;=2004,(4-(($F31-2000)/1))^3/6,0)))))</f>
        <v>0</v>
      </c>
      <c r="T31" s="16">
        <f>IF($F31&lt;=2001,0,IF($F31&lt;=2002,(($F31-2001)/1)^3/6,IF($F31&lt;=2003,2/3-((($F31-2001)/1)-2)^2-0.5*((($F31-2001)/1)-2)^3,IF($F31&lt;=2004,2/3-((($F31-2001)/1)-2)^2+0.5*((($F31-2001)/1)-2)^3,IF($F31&lt;=2005,(4-(($F31-2001)/1))^3/6,0)))))</f>
        <v>0</v>
      </c>
      <c r="U31" s="16">
        <f>IF($F31&lt;=2002,0,IF($F31&lt;=2003,(($F31-2002)/1)^3/6,IF($F31&lt;=2004,2/3-((($F31-2002)/1)-2)^2-0.5*((($F31-2002)/1)-2)^3,IF($F31&lt;=2005,2/3-((($F31-2002)/1)-2)^2+0.5*((($F31-2002)/1)-2)^3,IF($F31&lt;=2006,(4-(($F31-2002)/1))^3/6,0)))))</f>
        <v>0</v>
      </c>
      <c r="V31" s="16">
        <f>IF($F31&lt;=2003,0,IF($F31&lt;=2004,(($F31-2003)/1)^3/6,IF($F31&lt;=2005,2/3-((($F31-2003)/1)-2)^2-0.5*((($F31-2003)/1)-2)^3,IF($F31&lt;=2006,2/3-((($F31-2003)/1)-2)^2+0.5*((($F31-2003)/1)-2)^3,IF($F31&lt;=2007,(4-(($F31-2003)/1))^3/6,0)))))</f>
        <v>0</v>
      </c>
      <c r="W31" s="16">
        <f>IF($F31&lt;=2004,0,IF($F31&lt;=2005,(($F31-2004)/1)^3/6,IF($F31&lt;=2006,2/3-((($F31-2004)/1)-2)^2-0.5*((($F31-2004)/1)-2)^3,IF($F31&lt;=2007,2/3-((($F31-2004)/1)-2)^2+0.5*((($F31-2004)/1)-2)^3,IF($F31&lt;=2008,(4-(($F31-2004)/1))^3/6,0)))))</f>
        <v>0</v>
      </c>
      <c r="X31" s="16">
        <f>IF($F31&lt;=2005,0,IF($F31&lt;=2006,(($F31-2005)/1)^3/6,IF($F31&lt;=2007,2/3-((($F31-2005)/1)-2)^2-0.5*((($F31-2005)/1)-2)^3,IF($F31&lt;=2008,2/3-((($F31-2005)/1)-2)^2+0.5*((($F31-2005)/1)-2)^3,IF($F31&lt;=2009,(4-(($F31-2005)/1))^3/6,0)))))</f>
        <v>0</v>
      </c>
      <c r="Y31" s="16">
        <f>IF($F31&lt;=2006,0,IF($F31&lt;=2007,(($F31-2006)/1)^3/6,IF($F31&lt;=2008,2/3-((($F31-2006)/1)-2)^2-0.5*((($F31-2006)/1)-2)^3,IF($F31&lt;=2009,2/3-((($F31-2006)/1)-2)^2+0.5*((($F31-2006)/1)-2)^3,IF($F31&lt;=2010,(4-(($F31-2006)/1))^3/6,0)))))</f>
        <v>0</v>
      </c>
      <c r="Z31" s="16">
        <f>IF($F31&lt;=2007,0,IF($F31&lt;=2008,(($F31-2007)/1)^3/6,IF($F31&lt;=2009,2/3-((($F31-2007)/1)-2)^2-0.5*((($F31-2007)/1)-2)^3,IF($F31&lt;=2010,2/3-((($F31-2007)/1)-2)^2+0.5*((($F31-2007)/1)-2)^3,IF($F31&lt;=2011,(4-(($F31-2007)/1))^3/6,0)))))</f>
        <v>0</v>
      </c>
      <c r="AA31" s="16">
        <f>IF($F31&lt;=2008,0,IF($F31&lt;=2009,(($F31-2008)/1)^3/6,IF($F31&lt;=2010,2/3-((($F31-2008)/1)-2)^2-0.5*((($F31-2008)/1)-2)^3,IF($F31&lt;=2011,2/3-((($F31-2008)/1)-2)^2+0.5*((($F31-2008)/1)-2)^3,IF($F31&lt;=2012,(4-(($F31-2008)/1))^3/6,0)))))</f>
        <v>0</v>
      </c>
      <c r="AB31" s="16">
        <f>IF($F31&lt;=2009,0,IF($F31&lt;=2010,(($F31-2009)/1)^3/6,IF($F31&lt;=2011,2/3-((($F31-2009)/1)-2)^2-0.5*((($F31-2009)/1)-2)^3,IF($F31&lt;=2012,2/3-((($F31-2009)/1)-2)^2+0.5*((($F31-2009)/1)-2)^3,IF($F31&lt;=2013,(4-(($F31-2009)/1))^3/6,0)))))</f>
        <v>0</v>
      </c>
      <c r="AC31" s="16">
        <f>IF($F31&lt;=2010,0,IF($F31&lt;=2011,(($F31-2010)/1)^3/6,IF($F31&lt;=2012,2/3-((($F31-2010)/1)-2)^2-0.5*((($F31-2010)/1)-2)^3,IF($F31&lt;=2013,2/3-((($F31-2010)/1)-2)^2+0.5*((($F31-2010)/1)-2)^3,IF($F31&lt;=2014,(4-(($F31-2010)/1))^3/6,0)))))</f>
        <v>0</v>
      </c>
      <c r="AD31" s="16">
        <f>IF($F31&lt;=2011,0,IF($F31&lt;=2012,(($F31-2011)/1)^3/6,IF($F31&lt;=2013,2/3-((($F31-2011)/1)-2)^2-0.5*((($F31-2011)/1)-2)^3,IF($F31&lt;=2014,2/3-((($F31-2011)/1)-2)^2+0.5*((($F31-2011)/1)-2)^3,IF($F31&lt;=2015,(4-(($F31-2011)/1))^3/6,0)))))</f>
        <v>0</v>
      </c>
      <c r="AE31" s="16">
        <f>IF($F31&lt;=2012,0,IF($F31&lt;=2013,(($F31-2012)/1)^3/6,IF($F31&lt;=2014,2/3-((($F31-2012)/1)-2)^2-0.5*((($F31-2012)/1)-2)^3,IF($F31&lt;=2015,2/3-((($F31-2012)/1)-2)^2+0.5*((($F31-2012)/1)-2)^3,IF($F31&lt;=2016,(4-(($F31-2012)/1))^3/6,0)))))</f>
        <v>0</v>
      </c>
      <c r="AF31" s="16">
        <f>IF($F31&lt;=2013,0,IF($F31&lt;=2014,(($F31-2013)/1)^3/6,IF($F31&lt;=2015,2/3-((($F31-2013)/1)-2)^2-0.5*((($F31-2013)/1)-2)^3,IF($F31&lt;=2016,2/3-((($F31-2013)/1)-2)^2+0.5*((($F31-2013)/1)-2)^3,IF($F31&lt;=2017,(4-(($F31-2013)/1))^3/6,0)))))</f>
        <v>0</v>
      </c>
      <c r="AG31" s="16">
        <f>IF($F31&lt;=2014,0,IF($F31&lt;=2015,(($F31-2014)/1)^3/6,IF($F31&lt;=2016,2/3-((($F31-2014)/1)-2)^2-0.5*((($F31-2014)/1)-2)^3,IF($F31&lt;=2017,2/3-((($F31-2014)/1)-2)^2+0.5*((($F31-2014)/1)-2)^3,IF($F31&lt;=2018,(4-(($F31-2014)/1))^3/6,0)))))</f>
        <v>0</v>
      </c>
      <c r="AH31" s="16">
        <f>IF($F31&lt;=2015,0,IF($F31&lt;=2016,(($F31-2015)/1)^3/6,IF($F31&lt;=2017,2/3-((($F31-2015)/1)-2)^2-0.5*((($F31-2015)/1)-2)^3,IF($F31&lt;=2018,2/3-((($F31-2015)/1)-2)^2+0.5*((($F31-2015)/1)-2)^3,IF($F31&lt;=2019,(4-(($F31-2015)/1))^3/6,0)))))</f>
        <v>0</v>
      </c>
      <c r="AI31" s="16">
        <f>IF($F31&lt;=2016,0,IF($F31&lt;=2017,(($F31-2016)/1)^3/6,IF($F31&lt;=2018,2/3-((($F31-2016)/1)-2)^2-0.5*((($F31-2016)/1)-2)^3,IF($F31&lt;=2019,2/3-((($F31-2016)/1)-2)^2+0.5*((($F31-2016)/1)-2)^3,IF($F31&lt;=2020,(4-(($F31-2016)/1))^3/6,0)))))</f>
        <v>0.16666666666666699</v>
      </c>
      <c r="AJ31" s="16">
        <f>IF($F31&lt;=2017,0,IF($F31&lt;=2018,(($F31-2017)/1)^3/6,IF($F31&lt;=2019,2/3-((($F31-2017)/1)-2)^2-0.5*((($F31-2017)/1)-2)^3,IF($F31&lt;=2020,2/3-((($F31-2017)/1)-2)^2+0.5*((($F31-2017)/1)-2)^3,IF($F31&lt;=2021,(4-(($F31-2017)/1))^3/6,0)))))</f>
        <v>0.66666666666666696</v>
      </c>
      <c r="AK31" s="16">
        <f>IF($F31&lt;=2018,0,IF($F31&lt;=2019,(($F31-2018)/1)^3/6,IF($F31&lt;=2020,2/3-((($F31-2018)/1)-2)^2-0.5*((($F31-2018)/1)-2)^3,IF($F31&lt;=2021,2/3-((($F31-2018)/1)-2)^2+0.5*((($F31-2018)/1)-2)^3,IF($F31&lt;=2022,(4-(($F31-2018)/1))^3/6,0)))))</f>
        <v>0.16666666666666699</v>
      </c>
    </row>
    <row r="32">
      <c r="A32" s="18" t="n">
        <v>2017</v>
      </c>
      <c r="B32" s="16">
        <f>2*B31-B30</f>
        <v>-8.0095574202425599</v>
      </c>
      <c r="C32" s="16">
        <f>B32-B31</f>
        <v>-0.040855414788505399</v>
      </c>
      <c r="D32" s="16">
        <f>C32-C31</f>
        <v>0</v>
      </c>
      <c r="F32" s="19" t="n"/>
    </row>
    <row r="33">
      <c r="A33" s="18" t="n">
        <v>2018</v>
      </c>
      <c r="B33" s="16">
        <f>2*B32-B31</f>
        <v>-8.0504128350310609</v>
      </c>
      <c r="C33" s="16">
        <f>B33-B32</f>
        <v>-0.040855414788506302</v>
      </c>
      <c r="D33" s="16">
        <f>C33-C32</f>
        <v>-8.8817841970012504e-16</v>
      </c>
      <c r="F33" s="19" t="n"/>
    </row>
    <row r="34"/>
    <row r="35"/>
    <row r="36"/>
    <row r="37">
      <c r="A37" s="13" t="inlineStr">
        <is>
          <t>Requested forecast years</t>
        </is>
      </c>
    </row>
    <row r="38"/>
    <row r="39">
      <c r="A39" s="15" t="inlineStr">
        <is>
          <t>Year</t>
        </is>
      </c>
      <c r="B39" s="15" t="inlineStr">
        <is>
          <t>Mortality projection</t>
        </is>
      </c>
    </row>
    <row r="40">
      <c r="A40" s="15" t="n">
        <v>2007</v>
      </c>
      <c r="B40" s="16">
        <f>INDEX($I$7:$I$31,MATCH(A40,$F$7:$F$31,0))</f>
        <v>0.00054251629139438697</v>
      </c>
    </row>
    <row r="41">
      <c r="A41" s="15" t="n">
        <v>2010</v>
      </c>
      <c r="B41" s="16">
        <f>INDEX($I$7:$I$31,MATCH(A41,$F$7:$F$31,0))</f>
        <v>0.00047993557244409101</v>
      </c>
    </row>
    <row r="42">
      <c r="A42" s="15" t="n">
        <v>2013</v>
      </c>
      <c r="B42" s="16">
        <f>INDEX($I$7:$I$31,MATCH(A42,$F$7:$F$31,0))</f>
        <v>0.00042457370838618898</v>
      </c>
    </row>
    <row r="43">
      <c r="A43" s="15" t="n">
        <v>2016</v>
      </c>
      <c r="B43" s="16">
        <f>INDEX($I$7:$I$31,MATCH(A43,$F$7:$F$31,0))</f>
        <v>0.00037559798481868101</v>
      </c>
    </row>
    <row r="44">
      <c r="A44" s="15" t="n">
        <v>2019</v>
      </c>
      <c r="B44" s="16">
        <f>INDEX($I$7:$I$31,MATCH(A44,$F$7:$F$31,0))</f>
        <v>0.00033227174319407998</v>
      </c>
    </row>
  </sheetData>
  <mergeCells count="1">
    <mergeCell ref="A2:P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</cols>
  <sheetData>
    <row r="1">
      <c r="A1" s="13" t="inlineStr">
        <is>
          <t>Q2(c): Week 11 model comparison</t>
        </is>
      </c>
    </row>
    <row r="2" ht="36" customHeight="1">
      <c r="A2" s="2" t="inlineStr">
        <is>
          <t>Instructor correction: compare newly fitted M1 and M2 using supplied 1995–2004 observations. Data after 2004 are plotted only; refer to age 70 as instructed. Both models fit LN(m), lambda=1, second-order coefficient penalty.</t>
        </is>
      </c>
    </row>
    <row r="3"/>
    <row r="4"/>
    <row r="5">
      <c r="A5" s="15" t="inlineStr">
        <is>
          <t>Year</t>
        </is>
      </c>
      <c r="B5" s="15" t="inlineStr">
        <is>
          <t>Observed mortality</t>
        </is>
      </c>
      <c r="C5" s="15" t="inlineStr">
        <is>
          <t>Refitted M1</t>
        </is>
      </c>
      <c r="D5" s="15" t="inlineStr">
        <is>
          <t>M2</t>
        </is>
      </c>
      <c r="E5" s="15" t="inlineStr">
        <is>
          <t>Period</t>
        </is>
      </c>
    </row>
    <row r="6" ht="32" customHeight="1">
      <c r="A6" s="14" t="n">
        <v>1995</v>
      </c>
      <c r="B6" s="20">
        <f>'M_70_t'!B2</f>
        <v>0.00085662921497227005</v>
      </c>
      <c r="C6" s="20">
        <f>'Q2(c)_M1_Forecast'!I7</f>
        <v>0.00087062189509931598</v>
      </c>
      <c r="D6" s="20">
        <f>'Q2(c)_M2_Forecast'!I7</f>
        <v>0.00084301756115736195</v>
      </c>
      <c r="E6" s="14" t="inlineStr">
        <is>
          <t>Training</t>
        </is>
      </c>
    </row>
    <row r="7" ht="32" customHeight="1">
      <c r="A7" s="14" t="n">
        <v>1996</v>
      </c>
      <c r="B7" s="20">
        <f>'M_70_t'!B3</f>
        <v>0.00082999932605467902</v>
      </c>
      <c r="C7" s="20">
        <f>'Q2(c)_M1_Forecast'!I8</f>
        <v>0.00087295780023666605</v>
      </c>
      <c r="D7" s="20">
        <f>'Q2(c)_M2_Forecast'!I8</f>
        <v>0.00084087504779950105</v>
      </c>
      <c r="E7" s="14" t="inlineStr">
        <is>
          <t>Training</t>
        </is>
      </c>
      <c r="H7" s="14" t="inlineStr">
        <is>
          <t>Model</t>
        </is>
      </c>
      <c r="I7" s="14" t="inlineStr">
        <is>
          <t>SSE</t>
        </is>
      </c>
      <c r="J7" s="14" t="inlineStr">
        <is>
          <t>Penalty</t>
        </is>
      </c>
      <c r="K7" s="14" t="inlineStr">
        <is>
          <t>Objective</t>
        </is>
      </c>
    </row>
    <row r="8">
      <c r="A8" s="15" t="n">
        <v>1997</v>
      </c>
      <c r="B8" s="16">
        <f>'M_70_t'!B4</f>
        <v>0.00080999953267954299</v>
      </c>
      <c r="C8" s="16">
        <f>'Q2(c)_M1_Forecast'!I9</f>
        <v>0.000870785951544455</v>
      </c>
      <c r="D8" s="16">
        <f>'Q2(c)_M2_Forecast'!I9</f>
        <v>0.00085782785053901099</v>
      </c>
      <c r="E8" s="15" t="inlineStr">
        <is>
          <t>Training</t>
        </is>
      </c>
      <c r="H8" s="15" t="inlineStr">
        <is>
          <t>M1</t>
        </is>
      </c>
      <c r="I8" s="16">
        <f>'Q2(c)_M1'!B31</f>
        <v>0.078972716925895498</v>
      </c>
      <c r="J8" s="16">
        <f>'Q2(c)_M1'!B32</f>
        <v>0.026319106304200899</v>
      </c>
      <c r="K8" s="16">
        <f>'Q2(c)_M1'!B34</f>
        <v>0.092132270077995904</v>
      </c>
    </row>
    <row r="9">
      <c r="A9" s="15" t="n">
        <v>1998</v>
      </c>
      <c r="B9" s="16">
        <f>'M_70_t'!B5</f>
        <v>0.00097750974418243496</v>
      </c>
      <c r="C9" s="16">
        <f>'Q2(c)_M1_Forecast'!I10</f>
        <v>0.00086076143962928895</v>
      </c>
      <c r="D9" s="16">
        <f>'Q2(c)_M2_Forecast'!I10</f>
        <v>0.00088477982094815996</v>
      </c>
      <c r="E9" s="15" t="inlineStr">
        <is>
          <t>Training</t>
        </is>
      </c>
      <c r="H9" s="15" t="inlineStr">
        <is>
          <t>M2</t>
        </is>
      </c>
      <c r="I9" s="16">
        <f>'Q2(c)_M2'!B31</f>
        <v>0.0528862426345241</v>
      </c>
      <c r="J9" s="16">
        <f>'Q2(c)_M2'!B32</f>
        <v>0.0128049236456638</v>
      </c>
      <c r="K9" s="16">
        <f>'Q2(c)_M2'!B34</f>
        <v>0.059288704457355998</v>
      </c>
    </row>
    <row r="10">
      <c r="A10" s="15" t="n">
        <v>1999</v>
      </c>
      <c r="B10" s="16">
        <f>'M_70_t'!B6</f>
        <v>0.00078849179100953001</v>
      </c>
      <c r="C10" s="16">
        <f>'Q2(c)_M1_Forecast'!I11</f>
        <v>0.00084043561735633896</v>
      </c>
      <c r="D10" s="16">
        <f>'Q2(c)_M2_Forecast'!I11</f>
        <v>0.00088983282502081698</v>
      </c>
      <c r="E10" s="15" t="inlineStr">
        <is>
          <t>Training</t>
        </is>
      </c>
    </row>
    <row r="11">
      <c r="A11" s="15" t="n">
        <v>2000</v>
      </c>
      <c r="B11" s="16">
        <f>'M_70_t'!B7</f>
        <v>0.00099667191302858196</v>
      </c>
      <c r="C11" s="16">
        <f>'Q2(c)_M1_Forecast'!I12</f>
        <v>0.00081015217879329198</v>
      </c>
      <c r="D11" s="16">
        <f>'Q2(c)_M2_Forecast'!I12</f>
        <v>0.00086510201614561303</v>
      </c>
      <c r="E11" s="15" t="inlineStr">
        <is>
          <t>Training</t>
        </is>
      </c>
    </row>
    <row r="12">
      <c r="A12" s="15" t="n">
        <v>2001</v>
      </c>
      <c r="B12" s="16">
        <f>'M_70_t'!B8</f>
        <v>0.00075112817897161302</v>
      </c>
      <c r="C12" s="16">
        <f>'Q2(c)_M1_Forecast'!I13</f>
        <v>0.00077118367098127601</v>
      </c>
      <c r="D12" s="16">
        <f>'Q2(c)_M2_Forecast'!I13</f>
        <v>0.00079031772554067898</v>
      </c>
      <c r="E12" s="15" t="inlineStr">
        <is>
          <t>Training</t>
        </is>
      </c>
    </row>
    <row r="13">
      <c r="A13" s="15" t="n">
        <v>2002</v>
      </c>
      <c r="B13" s="16">
        <f>'M_70_t'!B9</f>
        <v>0.00070428750137965703</v>
      </c>
      <c r="C13" s="16">
        <f>'Q2(c)_M1_Forecast'!I14</f>
        <v>0.00072549063267319798</v>
      </c>
      <c r="D13" s="16">
        <f>'Q2(c)_M2_Forecast'!I14</f>
        <v>0.00070765399908639004</v>
      </c>
      <c r="E13" s="15" t="inlineStr">
        <is>
          <t>Training</t>
        </is>
      </c>
    </row>
    <row r="14">
      <c r="A14" s="15" t="n">
        <v>2003</v>
      </c>
      <c r="B14" s="16">
        <f>'M_70_t'!B10</f>
        <v>0.00062560881810524603</v>
      </c>
      <c r="C14" s="16">
        <f>'Q2(c)_M1_Forecast'!I15</f>
        <v>0.00067671034166159405</v>
      </c>
      <c r="D14" s="16">
        <f>'Q2(c)_M2_Forecast'!I15</f>
        <v>0.00064858287658078298</v>
      </c>
      <c r="E14" s="15" t="inlineStr">
        <is>
          <t>Training</t>
        </is>
      </c>
    </row>
    <row r="15">
      <c r="A15" s="15" t="n">
        <v>2004</v>
      </c>
      <c r="B15" s="16">
        <f>'M_70_t'!B11</f>
        <v>0.00063014139456242795</v>
      </c>
      <c r="C15" s="16">
        <f>'Q2(c)_M1_Forecast'!I16</f>
        <v>0.00062827565971880495</v>
      </c>
      <c r="D15" s="16">
        <f>'Q2(c)_M2_Forecast'!I16</f>
        <v>0.000614134418248517</v>
      </c>
      <c r="E15" s="15" t="inlineStr">
        <is>
          <t>Training</t>
        </is>
      </c>
    </row>
    <row r="16">
      <c r="A16" s="15" t="n">
        <v>2005</v>
      </c>
      <c r="B16" s="16">
        <f>'M_70_t'!B12</f>
        <v>0.000583834238658234</v>
      </c>
      <c r="C16" s="16">
        <f>'Q2(c)_M1_Forecast'!I17</f>
        <v>0.00058249565774999904</v>
      </c>
      <c r="D16" s="16">
        <f>'Q2(c)_M2_Forecast'!I17</f>
        <v>0.00058870719909535495</v>
      </c>
      <c r="E16" s="15" t="inlineStr">
        <is>
          <t>Projection</t>
        </is>
      </c>
    </row>
    <row r="17">
      <c r="A17" s="15" t="n">
        <v>2006</v>
      </c>
      <c r="B17" s="16">
        <f>'M_70_t'!B13</f>
        <v>0.00049907284917174999</v>
      </c>
      <c r="C17" s="16">
        <f>'Q2(c)_M1_Forecast'!I18</f>
        <v>0.00053976620827633098</v>
      </c>
      <c r="D17" s="16">
        <f>'Q2(c)_M2_Forecast'!I18</f>
        <v>0.00056514002368474102</v>
      </c>
      <c r="E17" s="15" t="inlineStr">
        <is>
          <t>Projection</t>
        </is>
      </c>
    </row>
    <row r="18">
      <c r="A18" s="15" t="n">
        <v>2007</v>
      </c>
      <c r="B18" s="16">
        <f>'M_70_t'!B14</f>
        <v>0.00056241539734553498</v>
      </c>
      <c r="C18" s="16">
        <f>'Q2(c)_M1_Forecast'!I19</f>
        <v>0.00050003909881698896</v>
      </c>
      <c r="D18" s="16">
        <f>'Q2(c)_M2_Forecast'!I19</f>
        <v>0.00054251629139438697</v>
      </c>
      <c r="E18" s="15" t="inlineStr">
        <is>
          <t>Projection</t>
        </is>
      </c>
    </row>
    <row r="19">
      <c r="A19" s="15" t="n">
        <v>2008</v>
      </c>
      <c r="B19" s="16">
        <f>'M_70_t'!B15</f>
        <v>0.00056619807714629496</v>
      </c>
      <c r="C19" s="16">
        <f>'Q2(c)_M1_Forecast'!I20</f>
        <v>0.00046321553266530997</v>
      </c>
      <c r="D19" s="16">
        <f>'Q2(c)_M2_Forecast'!I20</f>
        <v>0.00052079823423107198</v>
      </c>
      <c r="E19" s="15" t="inlineStr">
        <is>
          <t>Projection</t>
        </is>
      </c>
    </row>
    <row r="20">
      <c r="A20" s="15" t="n">
        <v>2009</v>
      </c>
      <c r="B20" s="16">
        <f>'M_70_t'!B16</f>
        <v>0.00054060671904999295</v>
      </c>
      <c r="C20" s="16">
        <f>'Q2(c)_M1_Forecast'!I21</f>
        <v>0.00042910370451038998</v>
      </c>
      <c r="D20" s="16">
        <f>'Q2(c)_M2_Forecast'!I21</f>
        <v>0.00049994959613301195</v>
      </c>
      <c r="E20" s="15" t="inlineStr">
        <is>
          <t>Projection</t>
        </is>
      </c>
    </row>
    <row r="21">
      <c r="A21" s="15" t="n">
        <v>2010</v>
      </c>
      <c r="B21" s="16">
        <f>'M_70_t'!B17</f>
        <v>0.000485007361502359</v>
      </c>
      <c r="C21" s="16">
        <f>'Q2(c)_M1_Forecast'!I22</f>
        <v>0.00039750391824097399</v>
      </c>
      <c r="D21" s="16">
        <f>'Q2(c)_M2_Forecast'!I22</f>
        <v>0.00047993557244409101</v>
      </c>
      <c r="E21" s="15" t="inlineStr">
        <is>
          <t>Projection</t>
        </is>
      </c>
    </row>
    <row r="22">
      <c r="A22" s="15" t="n">
        <v>2011</v>
      </c>
      <c r="B22" s="16">
        <f>'M_70_t'!B18</f>
        <v>0.00052495861425407497</v>
      </c>
      <c r="C22" s="16">
        <f>'Q2(c)_M1_Forecast'!I23</f>
        <v>0.00036823118364176402</v>
      </c>
      <c r="D22" s="16">
        <f>'Q2(c)_M2_Forecast'!I23</f>
        <v>0.00046072275181107601</v>
      </c>
      <c r="E22" s="15" t="inlineStr">
        <is>
          <t>Projection</t>
        </is>
      </c>
    </row>
    <row r="23" ht="32" customHeight="1">
      <c r="A23" s="14" t="n">
        <v>2012</v>
      </c>
      <c r="B23" s="20">
        <f>'M_70_t'!B19</f>
        <v>0.00044495933160701001</v>
      </c>
      <c r="C23" s="20">
        <f>'Q2(c)_M1_Forecast'!I24</f>
        <v>0.00034111413343104399</v>
      </c>
      <c r="D23" s="20">
        <f>'Q2(c)_M2_Forecast'!I24</f>
        <v>0.00044227906040679601</v>
      </c>
      <c r="E23" s="14" t="inlineStr">
        <is>
          <t>Projection</t>
        </is>
      </c>
    </row>
    <row r="24">
      <c r="A24" s="15" t="n">
        <v>2013</v>
      </c>
      <c r="B24" s="16">
        <f>'M_70_t'!B20</f>
        <v>0.00041112307243118301</v>
      </c>
      <c r="C24" s="16">
        <f>'Q2(c)_M1_Forecast'!I25</f>
        <v>0.00031599402004913498</v>
      </c>
      <c r="D24" s="16">
        <f>'Q2(c)_M2_Forecast'!I25</f>
        <v>0.00042457370838618898</v>
      </c>
      <c r="E24" s="15" t="inlineStr">
        <is>
          <t>Projection</t>
        </is>
      </c>
    </row>
    <row r="25">
      <c r="A25" s="15" t="n">
        <v>2014</v>
      </c>
      <c r="B25" s="16">
        <f>'M_70_t'!B21</f>
        <v>0.00044881581519445602</v>
      </c>
      <c r="C25" s="16">
        <f>'Q2(c)_M1_Forecast'!I26</f>
        <v>0.00029272378632472598</v>
      </c>
      <c r="D25" s="16">
        <f>'Q2(c)_M2_Forecast'!I26</f>
        <v>0.00040757713848582302</v>
      </c>
      <c r="E25" s="15" t="inlineStr">
        <is>
          <t>Projection</t>
        </is>
      </c>
    </row>
    <row r="26">
      <c r="A26" s="15" t="n">
        <v>2015</v>
      </c>
      <c r="B26" s="16">
        <f>'M_70_t'!B22</f>
        <v>0.00040681103089843998</v>
      </c>
      <c r="C26" s="16">
        <f>'Q2(c)_M1_Forecast'!I27</f>
        <v>0.00027116720457861902</v>
      </c>
      <c r="D26" s="16">
        <f>'Q2(c)_M2_Forecast'!I27</f>
        <v>0.00039126097668108902</v>
      </c>
      <c r="E26" s="15" t="inlineStr">
        <is>
          <t>Projection</t>
        </is>
      </c>
    </row>
    <row r="27">
      <c r="A27" s="15" t="n">
        <v>2016</v>
      </c>
      <c r="B27" s="16">
        <f>'M_70_t'!B23</f>
        <v>0.00049105417911107405</v>
      </c>
      <c r="C27" s="16">
        <f>'Q2(c)_M1_Forecast'!I28</f>
        <v>0.00025119807912504902</v>
      </c>
      <c r="D27" s="16">
        <f>'Q2(c)_M2_Forecast'!I28</f>
        <v>0.00037559798481868101</v>
      </c>
      <c r="E27" s="15" t="inlineStr">
        <is>
          <t>Projection</t>
        </is>
      </c>
    </row>
    <row r="28">
      <c r="A28" s="15" t="n">
        <v>2017</v>
      </c>
      <c r="B28" s="16">
        <f>'M_70_t'!B24</f>
        <v>0.000460024326747511</v>
      </c>
      <c r="C28" s="16">
        <f>'Q2(c)_M1_Forecast'!I29</f>
        <v>0.00023269950750190999</v>
      </c>
      <c r="D28" s="16">
        <f>'Q2(c)_M2_Forecast'!I29</f>
        <v>0.000360562015145306</v>
      </c>
      <c r="E28" s="15" t="inlineStr">
        <is>
          <t>Projection</t>
        </is>
      </c>
    </row>
    <row r="29">
      <c r="A29" s="15" t="n">
        <v>2018</v>
      </c>
      <c r="B29" s="16">
        <f>'M_70_t'!B25</f>
        <v>0.000416641795239238</v>
      </c>
      <c r="C29" s="16">
        <f>'Q2(c)_M1_Forecast'!I30</f>
        <v>0.00021556319610499701</v>
      </c>
      <c r="D29" s="16">
        <f>'Q2(c)_M2_Forecast'!I30</f>
        <v>0.00034612796665669902</v>
      </c>
      <c r="E29" s="15" t="inlineStr">
        <is>
          <t>Projection</t>
        </is>
      </c>
    </row>
    <row r="30">
      <c r="A30" s="15" t="n">
        <v>2019</v>
      </c>
      <c r="B30" s="16">
        <f>'M_70_t'!B26</f>
        <v>0.00044343997079208703</v>
      </c>
      <c r="C30" s="16">
        <f>'Q2(c)_M1_Forecast'!I31</f>
        <v>0.00019968882621988399</v>
      </c>
      <c r="D30" s="16">
        <f>'Q2(c)_M2_Forecast'!I31</f>
        <v>0.00033227174319407998</v>
      </c>
      <c r="E30" s="15" t="inlineStr">
        <is>
          <t>Projection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 ht="55" customHeight="1">
      <c r="A58" s="2" t="inlineStr">
        <is>
          <t>Overfitting: annual knots increase the fitted coefficients from 6 to 12 and hence increase flexibility. However, lambda=1 and the second-order difference penalty constrain coefficient curvature. More knots alone do not establish overfitting; the in-sample fit and projected behaviour must be considered together.</t>
        </is>
      </c>
    </row>
    <row r="59"/>
    <row r="60"/>
    <row r="61" ht="55" customHeight="1">
      <c r="A61" s="2" t="inlineStr">
        <is>
          <t>Evidence: refitted M1 SSE=0.07897271693, penalty=0.0263191063; M2 SSE=0.05288624263, penalty=0.01280492365. These are training diagnostics, not a new optimisation or a tuning criterion. The two different bases also mean identical numerical lambda does not imply identical effective smoothing.</t>
        </is>
      </c>
    </row>
    <row r="62"/>
    <row r="63"/>
    <row r="64" ht="55" customHeight="1">
      <c r="A64" s="2" t="inlineStr">
        <is>
          <t>Benefits of annual knots: they distribute local flexibility across each calendar year, reducing dependence on an arbitrary three-year knot placement and allowing annual mortality changes to be represented more locally. The penalty retains control of rapid coefficient variation.</t>
        </is>
      </c>
    </row>
    <row r="65"/>
    <row r="66"/>
    <row r="67" ht="55" customHeight="1">
      <c r="A67" s="2" t="inlineStr">
        <is>
          <t>Interpretation of theta_2001: it is a coefficient multiplying B_(2001,4), not the mortality rate or log mortality at year 2001. Under M1 the basis has support [2001,2013), lasting 12 years; under M2 it has support [2001,2005), lasting 4 years. Thus the same year label does not give the coefficient the same meaning or justify direct numerical comparison.</t>
        </is>
      </c>
    </row>
    <row r="68"/>
    <row r="69"/>
    <row r="70" ht="55" customHeight="1">
      <c r="A70" s="2" t="inlineStr">
        <is>
          <t>Sudden one-year changes: M2 has finer local resolution because its cubic basis supports span four years instead of twelve, so it can represent such a change more locally. Cubic smoothness and the fixed penalty can still attenuate the change; this does not guarantee better forecasts.</t>
        </is>
      </c>
    </row>
    <row r="71"/>
    <row r="72"/>
    <row r="73" ht="55" customHeight="1">
      <c r="A73" s="2" t="inlineStr">
        <is>
          <t>Projection: both models use the same zero-second-difference coefficient extension. The fitted coefficient tails differ, so their mortality projections may differ. Do not use the independent part-(b) M1 curve in this comparison.</t>
        </is>
      </c>
    </row>
  </sheetData>
  <mergeCells count="7">
    <mergeCell ref="A70:P70"/>
    <mergeCell ref="A67:P67"/>
    <mergeCell ref="A61:P61"/>
    <mergeCell ref="A58:P58"/>
    <mergeCell ref="A64:P64"/>
    <mergeCell ref="A73:P73"/>
    <mergeCell ref="A2:P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Runze Li</dc:creator>
  <dcterms:created xmlns:dcterms="http://purl.org/dc/terms/" xmlns:xsi="http://www.w3.org/2001/XMLSchema-instance" xsi:type="dcterms:W3CDTF">2026-08-07T10:08:00Z</dcterms:created>
  <dcterms:modified xmlns:dcterms="http://purl.org/dc/terms/" xmlns:xsi="http://www.w3.org/2001/XMLSchema-instance" xsi:type="dcterms:W3CDTF">2026-10-18T16:49:00Z</dcterms:modified>
  <cp:lastModifiedBy>李威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B86263BC94804BCF17F1D46A328F67CB_42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