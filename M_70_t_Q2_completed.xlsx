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420" tabRatio="600" firstSheet="0" activeTab="1" autoFilterDateGrouping="1"/>
  </bookViews>
  <sheets>
    <sheet xmlns:r="http://schemas.openxmlformats.org/officeDocument/2006/relationships" name="M_70_t" sheetId="1" state="visible" r:id="rId1"/>
    <sheet xmlns:r="http://schemas.openxmlformats.org/officeDocument/2006/relationships" name="Sheet1" sheetId="2" state="visible" r:id="rId2"/>
    <sheet xmlns:r="http://schemas.openxmlformats.org/officeDocument/2006/relationships" name="Q2(a)_Derivation" sheetId="3" state="visible" r:id="rId3"/>
    <sheet xmlns:r="http://schemas.openxmlformats.org/officeDocument/2006/relationships" name="Q2_ReadMe" sheetId="4" state="visible" r:id="rId4"/>
    <sheet xmlns:r="http://schemas.openxmlformats.org/officeDocument/2006/relationships" name="Q2(b)_M1" sheetId="5" state="visible" r:id="rId5"/>
    <sheet xmlns:r="http://schemas.openxmlformats.org/officeDocument/2006/relationships" name="Q2(c)_M1" sheetId="6" state="visible" r:id="rId6"/>
    <sheet xmlns:r="http://schemas.openxmlformats.org/officeDocument/2006/relationships" name="Q2(c)_M2" sheetId="7" state="visible" r:id="rId7"/>
    <sheet xmlns:r="http://schemas.openxmlformats.org/officeDocument/2006/relationships" name="Q2(c)_Comparison" sheetId="8" state="visible" r:id="rId8"/>
  </sheets>
  <definedNames>
    <definedName name="solver_adj" localSheetId="4" hidden="1">'Q2(b)_M1'!$I$15:$I$20</definedName>
    <definedName name="solver_opt" localSheetId="4" hidden="1">'Q2(b)_M1'!$I$10</definedName>
    <definedName name="solver_typ" localSheetId="4" hidden="1">2</definedName>
    <definedName name="solver_num" localSheetId="4" hidden="1">0</definedName>
    <definedName name="solver_neg" localSheetId="4" hidden="1">2</definedName>
    <definedName name="solver_eng" localSheetId="4" hidden="1">1</definedName>
    <definedName name="solver_lin" localSheetId="4" hidden="1">2</definedName>
    <definedName name="solver_pre" localSheetId="4" hidden="1">0.000000001</definedName>
    <definedName name="solver_cvg" localSheetId="4" hidden="1">0.000000001</definedName>
    <definedName name="solver_scl" localSheetId="4" hidden="1">1</definedName>
    <definedName name="solver_ver" localSheetId="4" hidden="1">2</definedName>
    <definedName name="solver_adj" localSheetId="5" hidden="1">'Q2(c)_M1'!$I$15:$I$20</definedName>
    <definedName name="solver_opt" localSheetId="5" hidden="1">'Q2(c)_M1'!$I$10</definedName>
    <definedName name="solver_typ" localSheetId="5" hidden="1">2</definedName>
    <definedName name="solver_num" localSheetId="5" hidden="1">0</definedName>
    <definedName name="solver_neg" localSheetId="5" hidden="1">2</definedName>
    <definedName name="solver_eng" localSheetId="5" hidden="1">1</definedName>
    <definedName name="solver_lin" localSheetId="5" hidden="1">2</definedName>
    <definedName name="solver_pre" localSheetId="5" hidden="1">0.000000001</definedName>
    <definedName name="solver_cvg" localSheetId="5" hidden="1">0.000000001</definedName>
    <definedName name="solver_scl" localSheetId="5" hidden="1">1</definedName>
    <definedName name="solver_ver" localSheetId="5" hidden="1">2</definedName>
    <definedName name="solver_adj" localSheetId="6" hidden="1">'Q2(c)_M2'!$I$15:$I$26</definedName>
    <definedName name="solver_opt" localSheetId="6" hidden="1">'Q2(c)_M2'!$I$10</definedName>
    <definedName name="solver_typ" localSheetId="6" hidden="1">2</definedName>
    <definedName name="solver_num" localSheetId="6" hidden="1">0</definedName>
    <definedName name="solver_neg" localSheetId="6" hidden="1">2</definedName>
    <definedName name="solver_eng" localSheetId="6" hidden="1">1</definedName>
    <definedName name="solver_lin" localSheetId="6" hidden="1">2</definedName>
    <definedName name="solver_pre" localSheetId="6" hidden="1">0.000000001</definedName>
    <definedName name="solver_cvg" localSheetId="6" hidden="1">0.000000001</definedName>
    <definedName name="solver_scl" localSheetId="6" hidden="1">1</definedName>
    <definedName name="solver_ver" localSheetId="6" hidden="1">2</definedName>
  </definedNames>
  <calcPr calcId="191029" fullCalcOnLoad="1"/>
</workbook>
</file>

<file path=xl/styles.xml><?xml version="1.0" encoding="utf-8"?>
<styleSheet xmlns="http://schemas.openxmlformats.org/spreadsheetml/2006/main">
  <numFmts count="2">
    <numFmt numFmtId="164" formatCode="0.0000000000"/>
    <numFmt numFmtId="165" formatCode="0.000000000000E+00"/>
  </numFmts>
  <fonts count="24">
    <font>
      <name val="等线"/>
      <charset val="134"/>
      <color theme="1"/>
      <sz val="12"/>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Calibri"/>
      <b val="1"/>
      <color rgb="0017365D"/>
      <sz val="13"/>
    </font>
    <font>
      <name val="Calibri"/>
      <color rgb="00000000"/>
      <sz val="10"/>
    </font>
    <font>
      <name val="Calibri"/>
      <b val="1"/>
      <color rgb="0017365D"/>
      <sz val="10"/>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F7"/>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pivotButton="0" quotePrefix="0" xfId="0"/>
    <xf numFmtId="0" fontId="21" fillId="0" borderId="0" pivotButton="0" quotePrefix="0" xfId="0"/>
    <xf numFmtId="0" fontId="0" fillId="0" borderId="0" applyAlignment="1" pivotButton="0" quotePrefix="0" xfId="0">
      <alignment vertical="center" wrapText="1"/>
    </xf>
    <xf numFmtId="0" fontId="22" fillId="0" borderId="0" pivotButton="0" quotePrefix="0" xfId="0"/>
    <xf numFmtId="1" fontId="22" fillId="0" borderId="0" pivotButton="0" quotePrefix="0" xfId="0"/>
    <xf numFmtId="164" fontId="22" fillId="0" borderId="0" pivotButton="0" quotePrefix="0" xfId="0"/>
    <xf numFmtId="0" fontId="23" fillId="33" borderId="0" applyAlignment="1" pivotButton="0" quotePrefix="0" xfId="0">
      <alignment vertical="center" wrapText="1"/>
    </xf>
    <xf numFmtId="0" fontId="22" fillId="0" borderId="0" applyAlignment="1" pivotButton="0" quotePrefix="0" xfId="0">
      <alignment vertical="center" wrapText="1"/>
    </xf>
    <xf numFmtId="165" fontId="22" fillId="0" borderId="0" pivotButton="0" quotePrefix="0" xfId="0"/>
    <xf numFmtId="1" fontId="23" fillId="33" borderId="0" applyAlignment="1" pivotButton="0" quotePrefix="0" xfId="0">
      <alignment vertical="center" wrapText="1"/>
    </xf>
    <xf numFmtId="164" fontId="23" fillId="33"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Q2(b): M1, four assignment observations</a:t>
            </a:r>
          </a:p>
        </rich>
      </tx>
    </title>
    <plotArea>
      <scatterChart>
        <ser>
          <idx val="0"/>
          <order val="0"/>
          <tx>
            <v>Observed</v>
          </tx>
          <spPr>
            <a:ln xmlns:a="http://schemas.openxmlformats.org/drawingml/2006/main">
              <a:solidFill>
                <a:srgbClr val="4472C4"/>
              </a:solidFill>
              <a:prstDash val="solid"/>
            </a:ln>
          </spPr>
          <marker>
            <symbol val="circle"/>
            <size val="4"/>
            <spPr>
              <a:ln xmlns:a="http://schemas.openxmlformats.org/drawingml/2006/main">
                <a:prstDash val="solid"/>
              </a:ln>
            </spPr>
          </marker>
          <xVal>
            <numRef>
              <f>'Q2(b)_M1'!$A$8:$A$32</f>
            </numRef>
          </xVal>
          <yVal>
            <numRef>
              <f>'Q2(b)_M1'!$B$8:$B$32</f>
            </numRef>
          </yVal>
        </ser>
        <ser>
          <idx val="1"/>
          <order val="1"/>
          <tx>
            <v>M1 fit / projection</v>
          </tx>
          <spPr>
            <a:ln xmlns:a="http://schemas.openxmlformats.org/drawingml/2006/main">
              <a:solidFill>
                <a:srgbClr val="ED7D31"/>
              </a:solidFill>
              <a:prstDash val="solid"/>
            </a:ln>
          </spPr>
          <marker>
            <symbol val="none"/>
            <size val="4"/>
            <spPr>
              <a:ln xmlns:a="http://schemas.openxmlformats.org/drawingml/2006/main">
                <a:prstDash val="solid"/>
              </a:ln>
            </spPr>
          </marker>
          <xVal>
            <numRef>
              <f>'Q2(b)_M1'!$A$8:$A$32</f>
            </numRef>
          </xVal>
          <yVal>
            <numRef>
              <f>'Q2(b)_M1'!$C$8:$C$32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Year</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Central death rate (per person-year)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Q2(c): M1 refitted to supplied annual data</a:t>
            </a:r>
          </a:p>
        </rich>
      </tx>
    </title>
    <plotArea>
      <scatterChart>
        <ser>
          <idx val="0"/>
          <order val="0"/>
          <tx>
            <v>Observed</v>
          </tx>
          <spPr>
            <a:ln xmlns:a="http://schemas.openxmlformats.org/drawingml/2006/main">
              <a:solidFill>
                <a:srgbClr val="4472C4"/>
              </a:solidFill>
              <a:prstDash val="solid"/>
            </a:ln>
          </spPr>
          <marker>
            <symbol val="circle"/>
            <size val="4"/>
            <spPr>
              <a:ln xmlns:a="http://schemas.openxmlformats.org/drawingml/2006/main">
                <a:prstDash val="solid"/>
              </a:ln>
            </spPr>
          </marker>
          <xVal>
            <numRef>
              <f>'Q2(c)_M1'!$A$8:$A$32</f>
            </numRef>
          </xVal>
          <yVal>
            <numRef>
              <f>'Q2(c)_M1'!$B$8:$B$32</f>
            </numRef>
          </yVal>
        </ser>
        <ser>
          <idx val="1"/>
          <order val="1"/>
          <tx>
            <v>M1 fit / projection</v>
          </tx>
          <spPr>
            <a:ln xmlns:a="http://schemas.openxmlformats.org/drawingml/2006/main">
              <a:solidFill>
                <a:srgbClr val="ED7D31"/>
              </a:solidFill>
              <a:prstDash val="solid"/>
            </a:ln>
          </spPr>
          <marker>
            <symbol val="none"/>
            <size val="4"/>
            <spPr>
              <a:ln xmlns:a="http://schemas.openxmlformats.org/drawingml/2006/main">
                <a:prstDash val="solid"/>
              </a:ln>
            </spPr>
          </marker>
          <xVal>
            <numRef>
              <f>'Q2(c)_M1'!$A$8:$A$32</f>
            </numRef>
          </xVal>
          <yVal>
            <numRef>
              <f>'Q2(c)_M1'!$C$8:$C$32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Year</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Central death rate (per person-year)</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Q2(c): M2 with annual knots</a:t>
            </a:r>
          </a:p>
        </rich>
      </tx>
    </title>
    <plotArea>
      <scatterChart>
        <ser>
          <idx val="0"/>
          <order val="0"/>
          <tx>
            <v>Observed</v>
          </tx>
          <spPr>
            <a:ln xmlns:a="http://schemas.openxmlformats.org/drawingml/2006/main">
              <a:solidFill>
                <a:srgbClr val="4472C4"/>
              </a:solidFill>
              <a:prstDash val="solid"/>
            </a:ln>
          </spPr>
          <marker>
            <symbol val="circle"/>
            <size val="4"/>
            <spPr>
              <a:ln xmlns:a="http://schemas.openxmlformats.org/drawingml/2006/main">
                <a:prstDash val="solid"/>
              </a:ln>
            </spPr>
          </marker>
          <xVal>
            <numRef>
              <f>'Q2(c)_M2'!$A$8:$A$32</f>
            </numRef>
          </xVal>
          <yVal>
            <numRef>
              <f>'Q2(c)_M2'!$B$8:$B$32</f>
            </numRef>
          </yVal>
        </ser>
        <ser>
          <idx val="1"/>
          <order val="1"/>
          <tx>
            <v>M2 fit / projection</v>
          </tx>
          <spPr>
            <a:ln xmlns:a="http://schemas.openxmlformats.org/drawingml/2006/main">
              <a:solidFill>
                <a:srgbClr val="ED7D31"/>
              </a:solidFill>
              <a:prstDash val="solid"/>
            </a:ln>
          </spPr>
          <marker>
            <symbol val="none"/>
            <size val="4"/>
            <spPr>
              <a:ln xmlns:a="http://schemas.openxmlformats.org/drawingml/2006/main">
                <a:prstDash val="solid"/>
              </a:ln>
            </spPr>
          </marker>
          <xVal>
            <numRef>
              <f>'Q2(c)_M2'!$A$8:$A$32</f>
            </numRef>
          </xVal>
          <yVal>
            <numRef>
              <f>'Q2(c)_M2'!$C$8:$C$32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Year</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Central death rate (per person-year)</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Q2(c): observed rates and refitted M1 / M2</a:t>
            </a:r>
          </a:p>
        </rich>
      </tx>
    </title>
    <plotArea>
      <scatterChart>
        <ser>
          <idx val="0"/>
          <order val="0"/>
          <tx>
            <v>Observed</v>
          </tx>
          <spPr>
            <a:ln xmlns:a="http://schemas.openxmlformats.org/drawingml/2006/main">
              <a:solidFill>
                <a:srgbClr val="4472C4"/>
              </a:solidFill>
              <a:prstDash val="solid"/>
            </a:ln>
          </spPr>
          <marker>
            <symbol val="circle"/>
            <size val="4"/>
            <spPr>
              <a:ln xmlns:a="http://schemas.openxmlformats.org/drawingml/2006/main">
                <a:prstDash val="solid"/>
              </a:ln>
            </spPr>
          </marker>
          <xVal>
            <numRef>
              <f>'Q2(c)_Comparison'!$A$6:$A$30</f>
            </numRef>
          </xVal>
          <yVal>
            <numRef>
              <f>'Q2(c)_Comparison'!$B$6:$B$30</f>
            </numRef>
          </yVal>
        </ser>
        <ser>
          <idx val="1"/>
          <order val="1"/>
          <tx>
            <v>M1 (refitted)</v>
          </tx>
          <spPr>
            <a:ln xmlns:a="http://schemas.openxmlformats.org/drawingml/2006/main">
              <a:solidFill>
                <a:srgbClr val="ED7D31"/>
              </a:solidFill>
              <a:prstDash val="solid"/>
            </a:ln>
          </spPr>
          <marker>
            <symbol val="none"/>
            <size val="4"/>
            <spPr>
              <a:ln xmlns:a="http://schemas.openxmlformats.org/drawingml/2006/main">
                <a:prstDash val="solid"/>
              </a:ln>
            </spPr>
          </marker>
          <xVal>
            <numRef>
              <f>'Q2(c)_Comparison'!$A$6:$A$30</f>
            </numRef>
          </xVal>
          <yVal>
            <numRef>
              <f>'Q2(c)_Comparison'!$C$6:$C$30</f>
            </numRef>
          </yVal>
        </ser>
        <ser>
          <idx val="2"/>
          <order val="2"/>
          <tx>
            <v>M2</v>
          </tx>
          <spPr>
            <a:ln xmlns:a="http://schemas.openxmlformats.org/drawingml/2006/main">
              <a:solidFill>
                <a:srgbClr val="548235"/>
              </a:solidFill>
              <a:prstDash val="solid"/>
            </a:ln>
          </spPr>
          <marker>
            <symbol val="none"/>
            <size val="4"/>
            <spPr>
              <a:ln xmlns:a="http://schemas.openxmlformats.org/drawingml/2006/main">
                <a:prstDash val="solid"/>
              </a:ln>
            </spPr>
          </marker>
          <xVal>
            <numRef>
              <f>'Q2(c)_Comparison'!$A$6:$A$30</f>
            </numRef>
          </xVal>
          <yVal>
            <numRef>
              <f>'Q2(c)_Comparison'!$D$6:$D$30</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Year</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Central death rate (per person-year)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0</col>
      <colOff>0</colOff>
      <row>41</row>
      <rowOff>0</rowOff>
    </from>
    <ext cx="82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41</row>
      <rowOff>0</rowOff>
    </from>
    <ext cx="82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41</row>
      <rowOff>0</rowOff>
    </from>
    <ext cx="82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D11" sqref="D11"/>
    </sheetView>
  </sheetViews>
  <sheetFormatPr baseColWidth="8" defaultColWidth="11" defaultRowHeight="17.6"/>
  <sheetData>
    <row r="1">
      <c r="A1" t="inlineStr">
        <is>
          <t>Year</t>
        </is>
      </c>
      <c r="B1" t="inlineStr">
        <is>
          <t>Mortality rate</t>
        </is>
      </c>
    </row>
    <row r="2">
      <c r="A2" t="n">
        <v>1995</v>
      </c>
      <c r="B2" t="n">
        <v>0.00085662921497227</v>
      </c>
    </row>
    <row r="3">
      <c r="A3" t="n">
        <v>1996</v>
      </c>
      <c r="B3" t="n">
        <v>0.000829999326054679</v>
      </c>
    </row>
    <row r="4">
      <c r="A4" t="n">
        <v>1997</v>
      </c>
      <c r="B4" t="n">
        <v>0.000809999532679543</v>
      </c>
    </row>
    <row r="5">
      <c r="A5" t="n">
        <v>1998</v>
      </c>
      <c r="B5" t="n">
        <v>0.000977509744182435</v>
      </c>
    </row>
    <row r="6">
      <c r="A6" t="n">
        <v>1999</v>
      </c>
      <c r="B6" t="n">
        <v>0.00078849179100953</v>
      </c>
    </row>
    <row r="7">
      <c r="A7" t="n">
        <v>2000</v>
      </c>
      <c r="B7" t="n">
        <v>0.000996671913028582</v>
      </c>
    </row>
    <row r="8">
      <c r="A8" t="n">
        <v>2001</v>
      </c>
      <c r="B8" t="n">
        <v>0.000751128178971613</v>
      </c>
    </row>
    <row r="9">
      <c r="A9" t="n">
        <v>2002</v>
      </c>
      <c r="B9" t="n">
        <v>0.000704287501379657</v>
      </c>
    </row>
    <row r="10">
      <c r="A10" t="n">
        <v>2003</v>
      </c>
      <c r="B10" t="n">
        <v>0.000625608818105246</v>
      </c>
    </row>
    <row r="11">
      <c r="A11" t="n">
        <v>2004</v>
      </c>
      <c r="B11" t="n">
        <v>0.0006301413945624279</v>
      </c>
    </row>
    <row r="12">
      <c r="A12" t="n">
        <v>2005</v>
      </c>
      <c r="B12" t="n">
        <v>0.000583834238658234</v>
      </c>
    </row>
    <row r="13">
      <c r="A13" t="n">
        <v>2006</v>
      </c>
      <c r="B13" t="n">
        <v>0.00049907284917175</v>
      </c>
    </row>
    <row r="14">
      <c r="A14" t="n">
        <v>2007</v>
      </c>
      <c r="B14" t="n">
        <v>0.000562415397345535</v>
      </c>
    </row>
    <row r="15">
      <c r="A15" t="n">
        <v>2008</v>
      </c>
      <c r="B15" t="n">
        <v>0.000566198077146295</v>
      </c>
    </row>
    <row r="16">
      <c r="A16" t="n">
        <v>2009</v>
      </c>
      <c r="B16" t="n">
        <v>0.0005406067190499929</v>
      </c>
    </row>
    <row r="17">
      <c r="A17" t="n">
        <v>2010</v>
      </c>
      <c r="B17" t="n">
        <v>0.000485007361502359</v>
      </c>
    </row>
    <row r="18">
      <c r="A18" t="n">
        <v>2011</v>
      </c>
      <c r="B18" t="n">
        <v>0.000524958614254075</v>
      </c>
    </row>
    <row r="19">
      <c r="A19" t="n">
        <v>2012</v>
      </c>
      <c r="B19" t="n">
        <v>0.00044495933160701</v>
      </c>
    </row>
    <row r="20">
      <c r="A20" t="n">
        <v>2013</v>
      </c>
      <c r="B20" t="n">
        <v>0.000411123072431183</v>
      </c>
    </row>
    <row r="21">
      <c r="A21" t="n">
        <v>2014</v>
      </c>
      <c r="B21" t="n">
        <v>0.000448815815194456</v>
      </c>
    </row>
    <row r="22">
      <c r="A22" t="n">
        <v>2015</v>
      </c>
      <c r="B22" t="n">
        <v>0.00040681103089844</v>
      </c>
    </row>
    <row r="23">
      <c r="A23" t="n">
        <v>2016</v>
      </c>
      <c r="B23" t="n">
        <v>0.0004910541791110741</v>
      </c>
    </row>
    <row r="24">
      <c r="A24" t="n">
        <v>2017</v>
      </c>
      <c r="B24" t="n">
        <v>0.000460024326747511</v>
      </c>
    </row>
    <row r="25">
      <c r="A25" t="n">
        <v>2018</v>
      </c>
      <c r="B25" t="n">
        <v>0.000416641795239238</v>
      </c>
    </row>
    <row r="26">
      <c r="A26" t="n">
        <v>2019</v>
      </c>
      <c r="B26" t="n">
        <v>0.000443439970792087</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ColWidth="9.06666666666667" defaultRowHeight="17.6"/>
  <sheetData/>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N5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16"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Q2(a): Cox–de Boor recursion and support</t>
        </is>
      </c>
    </row>
    <row r="2"/>
    <row r="3" ht="42" customHeight="1">
      <c r="A3" s="2" t="inlineStr">
        <is>
          <t>Convention: B_(t_j,k)(t) denotes order k (degree k−1), with support [t_j, t_(j+k)). For M1, h=3 years and t_(j+r)=t_j+3r; extend the uniform knot sequence as required.</t>
        </is>
      </c>
    </row>
    <row r="4"/>
    <row r="5" ht="42" customHeight="1">
      <c r="A5" s="2" t="inlineStr">
        <is>
          <t>Order 1: B_(t_j,1)(t)=1 if t_j≤t&lt;t_j+h, and 0 otherwise. All subsequent basis functions are obtained from this indicator using the recursion below.</t>
        </is>
      </c>
    </row>
    <row r="6"/>
    <row r="7" ht="42" customHeight="1">
      <c r="A7" s="2" t="inlineStr">
        <is>
          <t>For k=2,3,4: B_(t_j,k)(t)=[(t−t_j)/((k−1)h)] B_(t_j,k−1)(t)+[(t_j+kh−t)/((k−1)h)] B_(t_(j+1),k−1)(t).</t>
        </is>
      </c>
    </row>
    <row r="8"/>
    <row r="9" ht="42" customHeight="1">
      <c r="A9" s="2" t="inlineStr">
        <is>
          <t>Order 2: B_(t_j,2)=[(t−t_j)/h]B_(t_j,1)+[(t_j+2h−t)/h]B_(t_(j+1),1).</t>
        </is>
      </c>
    </row>
    <row r="10"/>
    <row r="11" ht="42" customHeight="1">
      <c r="A11" s="2" t="inlineStr">
        <is>
          <t>Order 3: B_(t_j,3)=[(t−t_j)/(2h)]B_(t_j,2)+[(t_j+3h−t)/(2h)]B_(t_(j+1),2).</t>
        </is>
      </c>
    </row>
    <row r="12"/>
    <row r="13" ht="42" customHeight="1">
      <c r="A13" s="2" t="inlineStr">
        <is>
          <t>Order 4: B_(t_j,4)=[(t−t_j)/(3h)]B_(t_j,3)+[(t_j+4h−t)/(3h)]B_(t_(j+1),3).</t>
        </is>
      </c>
    </row>
    <row r="14"/>
    <row r="15" ht="42" customHeight="1">
      <c r="A15" s="2" t="inlineStr">
        <is>
          <t>To display the piecewise forms compactly, let u=(t−t_j)/h and v_+=MAX(v,0). Then B_(t_j,k)(t)=Σ_(r=0)^k (−1)^r COMBIN(k,r)(u−r)_+^(k−1)/(k−1)! for k≥2.</t>
        </is>
      </c>
    </row>
    <row r="16"/>
    <row r="17" ht="42" customHeight="1">
      <c r="A17" s="2" t="inlineStr">
        <is>
          <t>Order 2: u_+−2(u−1)_++(u−2)_+. Order 3: [u_+²−3(u−1)_+²+3(u−2)_+²−(u−3)_+²]/2.</t>
        </is>
      </c>
    </row>
    <row r="18"/>
    <row r="19" ht="42" customHeight="1">
      <c r="A19" s="2" t="inlineStr">
        <is>
          <t>Order 4: [u_+³−4(u−1)_+³+6(u−2)_+³−4(u−3)_+³+(u−4)_+³]/6. The recurrence tables in this sheet and the model sheets calculate the same functions directly.</t>
        </is>
      </c>
    </row>
    <row r="20"/>
    <row r="21" ht="42" customHeight="1">
      <c r="A21" s="2" t="inlineStr">
        <is>
          <t>The first-order support is one knot interval. Each recursion combines adjacent lower-order supports, adding one interval. The support length is therefore kh: 3, 6, 9 and 12 years for orders 1–4. For k≥2 the curve is also zero at the left endpoint; support here means the usual enclosing knot interval.</t>
        </is>
      </c>
    </row>
    <row r="22"/>
    <row r="23"/>
    <row r="24"/>
    <row r="25">
      <c r="A25" s="3" t="inlineStr">
        <is>
          <t>Basis</t>
        </is>
      </c>
      <c r="B25" s="3" t="inlineStr">
        <is>
          <t>Order</t>
        </is>
      </c>
      <c r="C25" s="3" t="inlineStr">
        <is>
          <t>Degree</t>
        </is>
      </c>
      <c r="D25" s="3" t="inlineStr">
        <is>
          <t>Start year</t>
        </is>
      </c>
      <c r="E25" s="3" t="inlineStr">
        <is>
          <t>End year (excluded)</t>
        </is>
      </c>
      <c r="F25" s="3" t="inlineStr">
        <is>
          <t>Support length (years)</t>
        </is>
      </c>
    </row>
    <row r="26">
      <c r="A26" s="3" t="inlineStr">
        <is>
          <t>B_1998,1</t>
        </is>
      </c>
      <c r="B26" s="3" t="n">
        <v>1</v>
      </c>
      <c r="C26" s="3" t="n">
        <v>0</v>
      </c>
      <c r="D26" s="4" t="n">
        <v>1998</v>
      </c>
      <c r="E26" s="4">
        <f>D26+3*B26</f>
        <v>2001</v>
      </c>
      <c r="F26" s="4">
        <f>E26-D26</f>
        <v>3</v>
      </c>
    </row>
    <row r="27">
      <c r="A27" s="3" t="inlineStr">
        <is>
          <t>B_1998,2</t>
        </is>
      </c>
      <c r="B27" s="3" t="n">
        <v>2</v>
      </c>
      <c r="C27" s="3" t="n">
        <v>1</v>
      </c>
      <c r="D27" s="4" t="n">
        <v>1998</v>
      </c>
      <c r="E27" s="4">
        <f>D27+3*B27</f>
        <v>2004</v>
      </c>
      <c r="F27" s="4">
        <f>E27-D27</f>
        <v>6</v>
      </c>
    </row>
    <row r="28">
      <c r="A28" s="3" t="inlineStr">
        <is>
          <t>B_1998,3</t>
        </is>
      </c>
      <c r="B28" s="3" t="n">
        <v>3</v>
      </c>
      <c r="C28" s="3" t="n">
        <v>2</v>
      </c>
      <c r="D28" s="4" t="n">
        <v>1998</v>
      </c>
      <c r="E28" s="4">
        <f>D28+3*B28</f>
        <v>2007</v>
      </c>
      <c r="F28" s="4">
        <f>E28-D28</f>
        <v>9</v>
      </c>
    </row>
    <row r="29">
      <c r="A29" s="3" t="inlineStr">
        <is>
          <t>B_1998,4</t>
        </is>
      </c>
      <c r="B29" s="3" t="n">
        <v>4</v>
      </c>
      <c r="C29" s="3" t="n">
        <v>3</v>
      </c>
      <c r="D29" s="4" t="n">
        <v>1998</v>
      </c>
      <c r="E29" s="4">
        <f>D29+3*B29</f>
        <v>2010</v>
      </c>
      <c r="F29" s="4">
        <f>E29-D29</f>
        <v>12</v>
      </c>
    </row>
    <row r="30"/>
    <row r="31" ht="42" customHeight="1">
      <c r="A31" s="2" t="inlineStr">
        <is>
          <t>Excel worked example below: B_1998,k for t=1995,…,2013. Intermediate adjacent first-, second- and third-order bases are retained so that every recursion step is visible.</t>
        </is>
      </c>
    </row>
    <row r="32"/>
    <row r="33"/>
    <row r="34">
      <c r="A34" s="3" t="inlineStr">
        <is>
          <t>Year</t>
        </is>
      </c>
      <c r="B34" s="3" t="inlineStr">
        <is>
          <t>B1998,order1</t>
        </is>
      </c>
      <c r="C34" s="3" t="inlineStr">
        <is>
          <t>B2001,order1</t>
        </is>
      </c>
      <c r="D34" s="3" t="inlineStr">
        <is>
          <t>B2004,order1</t>
        </is>
      </c>
      <c r="E34" s="3" t="inlineStr">
        <is>
          <t>B2007,order1</t>
        </is>
      </c>
      <c r="F34" s="3" t="inlineStr">
        <is>
          <t>B1998,order2</t>
        </is>
      </c>
      <c r="G34" s="3" t="inlineStr">
        <is>
          <t>B2001,order2</t>
        </is>
      </c>
      <c r="H34" s="3" t="inlineStr">
        <is>
          <t>B2004,order2</t>
        </is>
      </c>
      <c r="I34" s="3" t="inlineStr">
        <is>
          <t>B1998,order3</t>
        </is>
      </c>
      <c r="J34" s="3" t="inlineStr">
        <is>
          <t>B2001,order3</t>
        </is>
      </c>
      <c r="K34" s="3" t="inlineStr">
        <is>
          <t>B1998,order4</t>
        </is>
      </c>
    </row>
    <row r="35">
      <c r="A35" s="3" t="n">
        <v>1995</v>
      </c>
      <c r="B35" s="5">
        <f>IF(AND($A35&gt;=1998,$A35&lt;2001),1,0)</f>
        <v>0</v>
      </c>
      <c r="C35" s="5">
        <f>IF(AND($A35&gt;=2001,$A35&lt;2004),1,0)</f>
        <v>0</v>
      </c>
      <c r="D35" s="5">
        <f>IF(AND($A35&gt;=2004,$A35&lt;2007),1,0)</f>
        <v>0</v>
      </c>
      <c r="E35" s="5">
        <f>IF(AND($A35&gt;=2007,$A35&lt;2010),1,0)</f>
        <v>0</v>
      </c>
      <c r="F35" s="5">
        <f>($A35-1998)/3*B35+(2004-$A35)/3*C35</f>
        <v>0</v>
      </c>
      <c r="G35" s="5">
        <f>($A35-2001)/3*C35+(2007-$A35)/3*D35</f>
        <v>0</v>
      </c>
      <c r="H35" s="5">
        <f>($A35-2004)/3*D35+(2010-$A35)/3*E35</f>
        <v>0</v>
      </c>
      <c r="I35" s="5">
        <f>($A35-1998)/6*F35+(2007-$A35)/6*G35</f>
        <v>0</v>
      </c>
      <c r="J35" s="5">
        <f>($A35-2001)/6*G35+(2010-$A35)/6*H35</f>
        <v>0</v>
      </c>
      <c r="K35" s="5">
        <f>($A35-1998)/9*I35+(2010-$A35)/9*J35</f>
        <v>0</v>
      </c>
    </row>
    <row r="36">
      <c r="A36" s="3" t="n">
        <v>1996</v>
      </c>
      <c r="B36" s="5">
        <f>IF(AND($A36&gt;=1998,$A36&lt;2001),1,0)</f>
        <v>0</v>
      </c>
      <c r="C36" s="5">
        <f>IF(AND($A36&gt;=2001,$A36&lt;2004),1,0)</f>
        <v>0</v>
      </c>
      <c r="D36" s="5">
        <f>IF(AND($A36&gt;=2004,$A36&lt;2007),1,0)</f>
        <v>0</v>
      </c>
      <c r="E36" s="5">
        <f>IF(AND($A36&gt;=2007,$A36&lt;2010),1,0)</f>
        <v>0</v>
      </c>
      <c r="F36" s="5">
        <f>($A36-1998)/3*B36+(2004-$A36)/3*C36</f>
        <v>0</v>
      </c>
      <c r="G36" s="5">
        <f>($A36-2001)/3*C36+(2007-$A36)/3*D36</f>
        <v>0</v>
      </c>
      <c r="H36" s="5">
        <f>($A36-2004)/3*D36+(2010-$A36)/3*E36</f>
        <v>0</v>
      </c>
      <c r="I36" s="5">
        <f>($A36-1998)/6*F36+(2007-$A36)/6*G36</f>
        <v>0</v>
      </c>
      <c r="J36" s="5">
        <f>($A36-2001)/6*G36+(2010-$A36)/6*H36</f>
        <v>0</v>
      </c>
      <c r="K36" s="5">
        <f>($A36-1998)/9*I36+(2010-$A36)/9*J36</f>
        <v>0</v>
      </c>
    </row>
    <row r="37">
      <c r="A37" s="3" t="n">
        <v>1997</v>
      </c>
      <c r="B37" s="5">
        <f>IF(AND($A37&gt;=1998,$A37&lt;2001),1,0)</f>
        <v>0</v>
      </c>
      <c r="C37" s="5">
        <f>IF(AND($A37&gt;=2001,$A37&lt;2004),1,0)</f>
        <v>0</v>
      </c>
      <c r="D37" s="5">
        <f>IF(AND($A37&gt;=2004,$A37&lt;2007),1,0)</f>
        <v>0</v>
      </c>
      <c r="E37" s="5">
        <f>IF(AND($A37&gt;=2007,$A37&lt;2010),1,0)</f>
        <v>0</v>
      </c>
      <c r="F37" s="5">
        <f>($A37-1998)/3*B37+(2004-$A37)/3*C37</f>
        <v>0</v>
      </c>
      <c r="G37" s="5">
        <f>($A37-2001)/3*C37+(2007-$A37)/3*D37</f>
        <v>0</v>
      </c>
      <c r="H37" s="5">
        <f>($A37-2004)/3*D37+(2010-$A37)/3*E37</f>
        <v>0</v>
      </c>
      <c r="I37" s="5">
        <f>($A37-1998)/6*F37+(2007-$A37)/6*G37</f>
        <v>0</v>
      </c>
      <c r="J37" s="5">
        <f>($A37-2001)/6*G37+(2010-$A37)/6*H37</f>
        <v>0</v>
      </c>
      <c r="K37" s="5">
        <f>($A37-1998)/9*I37+(2010-$A37)/9*J37</f>
        <v>0</v>
      </c>
    </row>
    <row r="38">
      <c r="A38" s="3" t="n">
        <v>1998</v>
      </c>
      <c r="B38" s="5">
        <f>IF(AND($A38&gt;=1998,$A38&lt;2001),1,0)</f>
        <v>1</v>
      </c>
      <c r="C38" s="5">
        <f>IF(AND($A38&gt;=2001,$A38&lt;2004),1,0)</f>
        <v>0</v>
      </c>
      <c r="D38" s="5">
        <f>IF(AND($A38&gt;=2004,$A38&lt;2007),1,0)</f>
        <v>0</v>
      </c>
      <c r="E38" s="5">
        <f>IF(AND($A38&gt;=2007,$A38&lt;2010),1,0)</f>
        <v>0</v>
      </c>
      <c r="F38" s="5">
        <f>($A38-1998)/3*B38+(2004-$A38)/3*C38</f>
        <v>0</v>
      </c>
      <c r="G38" s="5">
        <f>($A38-2001)/3*C38+(2007-$A38)/3*D38</f>
        <v>0</v>
      </c>
      <c r="H38" s="5">
        <f>($A38-2004)/3*D38+(2010-$A38)/3*E38</f>
        <v>0</v>
      </c>
      <c r="I38" s="5">
        <f>($A38-1998)/6*F38+(2007-$A38)/6*G38</f>
        <v>0</v>
      </c>
      <c r="J38" s="5">
        <f>($A38-2001)/6*G38+(2010-$A38)/6*H38</f>
        <v>0</v>
      </c>
      <c r="K38" s="5">
        <f>($A38-1998)/9*I38+(2010-$A38)/9*J38</f>
        <v>0</v>
      </c>
    </row>
    <row r="39">
      <c r="A39" s="3" t="n">
        <v>1999</v>
      </c>
      <c r="B39" s="5">
        <f>IF(AND($A39&gt;=1998,$A39&lt;2001),1,0)</f>
        <v>1</v>
      </c>
      <c r="C39" s="5">
        <f>IF(AND($A39&gt;=2001,$A39&lt;2004),1,0)</f>
        <v>0</v>
      </c>
      <c r="D39" s="5">
        <f>IF(AND($A39&gt;=2004,$A39&lt;2007),1,0)</f>
        <v>0</v>
      </c>
      <c r="E39" s="5">
        <f>IF(AND($A39&gt;=2007,$A39&lt;2010),1,0)</f>
        <v>0</v>
      </c>
      <c r="F39" s="5">
        <f>($A39-1998)/3*B39+(2004-$A39)/3*C39</f>
        <v>0.33333333333333331</v>
      </c>
      <c r="G39" s="5">
        <f>($A39-2001)/3*C39+(2007-$A39)/3*D39</f>
        <v>0</v>
      </c>
      <c r="H39" s="5">
        <f>($A39-2004)/3*D39+(2010-$A39)/3*E39</f>
        <v>0</v>
      </c>
      <c r="I39" s="5">
        <f>($A39-1998)/6*F39+(2007-$A39)/6*G39</f>
        <v>0.055555555555555552</v>
      </c>
      <c r="J39" s="5">
        <f>($A39-2001)/6*G39+(2010-$A39)/6*H39</f>
        <v>0</v>
      </c>
      <c r="K39" s="5">
        <f>($A39-1998)/9*I39+(2010-$A39)/9*J39</f>
        <v>0.0061728395061728392</v>
      </c>
    </row>
    <row r="40">
      <c r="A40" s="3" t="n">
        <v>2000</v>
      </c>
      <c r="B40" s="5">
        <f>IF(AND($A40&gt;=1998,$A40&lt;2001),1,0)</f>
        <v>1</v>
      </c>
      <c r="C40" s="5">
        <f>IF(AND($A40&gt;=2001,$A40&lt;2004),1,0)</f>
        <v>0</v>
      </c>
      <c r="D40" s="5">
        <f>IF(AND($A40&gt;=2004,$A40&lt;2007),1,0)</f>
        <v>0</v>
      </c>
      <c r="E40" s="5">
        <f>IF(AND($A40&gt;=2007,$A40&lt;2010),1,0)</f>
        <v>0</v>
      </c>
      <c r="F40" s="5">
        <f>($A40-1998)/3*B40+(2004-$A40)/3*C40</f>
        <v>0.66666666666666663</v>
      </c>
      <c r="G40" s="5">
        <f>($A40-2001)/3*C40+(2007-$A40)/3*D40</f>
        <v>0</v>
      </c>
      <c r="H40" s="5">
        <f>($A40-2004)/3*D40+(2010-$A40)/3*E40</f>
        <v>0</v>
      </c>
      <c r="I40" s="5">
        <f>($A40-1998)/6*F40+(2007-$A40)/6*G40</f>
        <v>0.22222222222222221</v>
      </c>
      <c r="J40" s="5">
        <f>($A40-2001)/6*G40+(2010-$A40)/6*H40</f>
        <v>0</v>
      </c>
      <c r="K40" s="5">
        <f>($A40-1998)/9*I40+(2010-$A40)/9*J40</f>
        <v>0.049382716049382713</v>
      </c>
    </row>
    <row r="41">
      <c r="A41" s="3" t="n">
        <v>2001</v>
      </c>
      <c r="B41" s="5">
        <f>IF(AND($A41&gt;=1998,$A41&lt;2001),1,0)</f>
        <v>0</v>
      </c>
      <c r="C41" s="5">
        <f>IF(AND($A41&gt;=2001,$A41&lt;2004),1,0)</f>
        <v>1</v>
      </c>
      <c r="D41" s="5">
        <f>IF(AND($A41&gt;=2004,$A41&lt;2007),1,0)</f>
        <v>0</v>
      </c>
      <c r="E41" s="5">
        <f>IF(AND($A41&gt;=2007,$A41&lt;2010),1,0)</f>
        <v>0</v>
      </c>
      <c r="F41" s="5">
        <f>($A41-1998)/3*B41+(2004-$A41)/3*C41</f>
        <v>1</v>
      </c>
      <c r="G41" s="5">
        <f>($A41-2001)/3*C41+(2007-$A41)/3*D41</f>
        <v>0</v>
      </c>
      <c r="H41" s="5">
        <f>($A41-2004)/3*D41+(2010-$A41)/3*E41</f>
        <v>0</v>
      </c>
      <c r="I41" s="5">
        <f>($A41-1998)/6*F41+(2007-$A41)/6*G41</f>
        <v>0.5</v>
      </c>
      <c r="J41" s="5">
        <f>($A41-2001)/6*G41+(2010-$A41)/6*H41</f>
        <v>0</v>
      </c>
      <c r="K41" s="5">
        <f>($A41-1998)/9*I41+(2010-$A41)/9*J41</f>
        <v>0.16666666666666666</v>
      </c>
    </row>
    <row r="42">
      <c r="A42" s="3" t="n">
        <v>2002</v>
      </c>
      <c r="B42" s="5">
        <f>IF(AND($A42&gt;=1998,$A42&lt;2001),1,0)</f>
        <v>0</v>
      </c>
      <c r="C42" s="5">
        <f>IF(AND($A42&gt;=2001,$A42&lt;2004),1,0)</f>
        <v>1</v>
      </c>
      <c r="D42" s="5">
        <f>IF(AND($A42&gt;=2004,$A42&lt;2007),1,0)</f>
        <v>0</v>
      </c>
      <c r="E42" s="5">
        <f>IF(AND($A42&gt;=2007,$A42&lt;2010),1,0)</f>
        <v>0</v>
      </c>
      <c r="F42" s="5">
        <f>($A42-1998)/3*B42+(2004-$A42)/3*C42</f>
        <v>0.66666666666666663</v>
      </c>
      <c r="G42" s="5">
        <f>($A42-2001)/3*C42+(2007-$A42)/3*D42</f>
        <v>0.33333333333333331</v>
      </c>
      <c r="H42" s="5">
        <f>($A42-2004)/3*D42+(2010-$A42)/3*E42</f>
        <v>0</v>
      </c>
      <c r="I42" s="5">
        <f>($A42-1998)/6*F42+(2007-$A42)/6*G42</f>
        <v>0.72222222222222221</v>
      </c>
      <c r="J42" s="5">
        <f>($A42-2001)/6*G42+(2010-$A42)/6*H42</f>
        <v>0.055555555555555552</v>
      </c>
      <c r="K42" s="5">
        <f>($A42-1998)/9*I42+(2010-$A42)/9*J42</f>
        <v>0.37037037037037035</v>
      </c>
    </row>
    <row r="43">
      <c r="A43" s="3" t="n">
        <v>2003</v>
      </c>
      <c r="B43" s="5">
        <f>IF(AND($A43&gt;=1998,$A43&lt;2001),1,0)</f>
        <v>0</v>
      </c>
      <c r="C43" s="5">
        <f>IF(AND($A43&gt;=2001,$A43&lt;2004),1,0)</f>
        <v>1</v>
      </c>
      <c r="D43" s="5">
        <f>IF(AND($A43&gt;=2004,$A43&lt;2007),1,0)</f>
        <v>0</v>
      </c>
      <c r="E43" s="5">
        <f>IF(AND($A43&gt;=2007,$A43&lt;2010),1,0)</f>
        <v>0</v>
      </c>
      <c r="F43" s="5">
        <f>($A43-1998)/3*B43+(2004-$A43)/3*C43</f>
        <v>0.33333333333333331</v>
      </c>
      <c r="G43" s="5">
        <f>($A43-2001)/3*C43+(2007-$A43)/3*D43</f>
        <v>0.66666666666666663</v>
      </c>
      <c r="H43" s="5">
        <f>($A43-2004)/3*D43+(2010-$A43)/3*E43</f>
        <v>0</v>
      </c>
      <c r="I43" s="5">
        <f>($A43-1998)/6*F43+(2007-$A43)/6*G43</f>
        <v>0.72222222222222221</v>
      </c>
      <c r="J43" s="5">
        <f>($A43-2001)/6*G43+(2010-$A43)/6*H43</f>
        <v>0.22222222222222221</v>
      </c>
      <c r="K43" s="5">
        <f>($A43-1998)/9*I43+(2010-$A43)/9*J43</f>
        <v>0.57407407407407407</v>
      </c>
    </row>
    <row r="44">
      <c r="A44" s="3" t="n">
        <v>2004</v>
      </c>
      <c r="B44" s="5">
        <f>IF(AND($A44&gt;=1998,$A44&lt;2001),1,0)</f>
        <v>0</v>
      </c>
      <c r="C44" s="5">
        <f>IF(AND($A44&gt;=2001,$A44&lt;2004),1,0)</f>
        <v>0</v>
      </c>
      <c r="D44" s="5">
        <f>IF(AND($A44&gt;=2004,$A44&lt;2007),1,0)</f>
        <v>1</v>
      </c>
      <c r="E44" s="5">
        <f>IF(AND($A44&gt;=2007,$A44&lt;2010),1,0)</f>
        <v>0</v>
      </c>
      <c r="F44" s="5">
        <f>($A44-1998)/3*B44+(2004-$A44)/3*C44</f>
        <v>0</v>
      </c>
      <c r="G44" s="5">
        <f>($A44-2001)/3*C44+(2007-$A44)/3*D44</f>
        <v>1</v>
      </c>
      <c r="H44" s="5">
        <f>($A44-2004)/3*D44+(2010-$A44)/3*E44</f>
        <v>0</v>
      </c>
      <c r="I44" s="5">
        <f>($A44-1998)/6*F44+(2007-$A44)/6*G44</f>
        <v>0.5</v>
      </c>
      <c r="J44" s="5">
        <f>($A44-2001)/6*G44+(2010-$A44)/6*H44</f>
        <v>0.5</v>
      </c>
      <c r="K44" s="5">
        <f>($A44-1998)/9*I44+(2010-$A44)/9*J44</f>
        <v>0.66666666666666663</v>
      </c>
    </row>
    <row r="45">
      <c r="A45" s="3" t="n">
        <v>2005</v>
      </c>
      <c r="B45" s="5">
        <f>IF(AND($A45&gt;=1998,$A45&lt;2001),1,0)</f>
        <v>0</v>
      </c>
      <c r="C45" s="5">
        <f>IF(AND($A45&gt;=2001,$A45&lt;2004),1,0)</f>
        <v>0</v>
      </c>
      <c r="D45" s="5">
        <f>IF(AND($A45&gt;=2004,$A45&lt;2007),1,0)</f>
        <v>1</v>
      </c>
      <c r="E45" s="5">
        <f>IF(AND($A45&gt;=2007,$A45&lt;2010),1,0)</f>
        <v>0</v>
      </c>
      <c r="F45" s="5">
        <f>($A45-1998)/3*B45+(2004-$A45)/3*C45</f>
        <v>0</v>
      </c>
      <c r="G45" s="5">
        <f>($A45-2001)/3*C45+(2007-$A45)/3*D45</f>
        <v>0.66666666666666663</v>
      </c>
      <c r="H45" s="5">
        <f>($A45-2004)/3*D45+(2010-$A45)/3*E45</f>
        <v>0.33333333333333331</v>
      </c>
      <c r="I45" s="5">
        <f>($A45-1998)/6*F45+(2007-$A45)/6*G45</f>
        <v>0.22222222222222221</v>
      </c>
      <c r="J45" s="5">
        <f>($A45-2001)/6*G45+(2010-$A45)/6*H45</f>
        <v>0.72222222222222221</v>
      </c>
      <c r="K45" s="5">
        <f>($A45-1998)/9*I45+(2010-$A45)/9*J45</f>
        <v>0.57407407407407407</v>
      </c>
    </row>
    <row r="46">
      <c r="A46" s="3" t="n">
        <v>2006</v>
      </c>
      <c r="B46" s="5">
        <f>IF(AND($A46&gt;=1998,$A46&lt;2001),1,0)</f>
        <v>0</v>
      </c>
      <c r="C46" s="5">
        <f>IF(AND($A46&gt;=2001,$A46&lt;2004),1,0)</f>
        <v>0</v>
      </c>
      <c r="D46" s="5">
        <f>IF(AND($A46&gt;=2004,$A46&lt;2007),1,0)</f>
        <v>1</v>
      </c>
      <c r="E46" s="5">
        <f>IF(AND($A46&gt;=2007,$A46&lt;2010),1,0)</f>
        <v>0</v>
      </c>
      <c r="F46" s="5">
        <f>($A46-1998)/3*B46+(2004-$A46)/3*C46</f>
        <v>0</v>
      </c>
      <c r="G46" s="5">
        <f>($A46-2001)/3*C46+(2007-$A46)/3*D46</f>
        <v>0.33333333333333331</v>
      </c>
      <c r="H46" s="5">
        <f>($A46-2004)/3*D46+(2010-$A46)/3*E46</f>
        <v>0.66666666666666663</v>
      </c>
      <c r="I46" s="5">
        <f>($A46-1998)/6*F46+(2007-$A46)/6*G46</f>
        <v>0.055555555555555552</v>
      </c>
      <c r="J46" s="5">
        <f>($A46-2001)/6*G46+(2010-$A46)/6*H46</f>
        <v>0.72222222222222221</v>
      </c>
      <c r="K46" s="5">
        <f>($A46-1998)/9*I46+(2010-$A46)/9*J46</f>
        <v>0.37037037037037035</v>
      </c>
    </row>
    <row r="47">
      <c r="A47" s="3" t="n">
        <v>2007</v>
      </c>
      <c r="B47" s="5">
        <f>IF(AND($A47&gt;=1998,$A47&lt;2001),1,0)</f>
        <v>0</v>
      </c>
      <c r="C47" s="5">
        <f>IF(AND($A47&gt;=2001,$A47&lt;2004),1,0)</f>
        <v>0</v>
      </c>
      <c r="D47" s="5">
        <f>IF(AND($A47&gt;=2004,$A47&lt;2007),1,0)</f>
        <v>0</v>
      </c>
      <c r="E47" s="5">
        <f>IF(AND($A47&gt;=2007,$A47&lt;2010),1,0)</f>
        <v>1</v>
      </c>
      <c r="F47" s="5">
        <f>($A47-1998)/3*B47+(2004-$A47)/3*C47</f>
        <v>0</v>
      </c>
      <c r="G47" s="5">
        <f>($A47-2001)/3*C47+(2007-$A47)/3*D47</f>
        <v>0</v>
      </c>
      <c r="H47" s="5">
        <f>($A47-2004)/3*D47+(2010-$A47)/3*E47</f>
        <v>1</v>
      </c>
      <c r="I47" s="5">
        <f>($A47-1998)/6*F47+(2007-$A47)/6*G47</f>
        <v>0</v>
      </c>
      <c r="J47" s="5">
        <f>($A47-2001)/6*G47+(2010-$A47)/6*H47</f>
        <v>0.5</v>
      </c>
      <c r="K47" s="5">
        <f>($A47-1998)/9*I47+(2010-$A47)/9*J47</f>
        <v>0.16666666666666666</v>
      </c>
    </row>
    <row r="48">
      <c r="A48" s="3" t="n">
        <v>2008</v>
      </c>
      <c r="B48" s="5">
        <f>IF(AND($A48&gt;=1998,$A48&lt;2001),1,0)</f>
        <v>0</v>
      </c>
      <c r="C48" s="5">
        <f>IF(AND($A48&gt;=2001,$A48&lt;2004),1,0)</f>
        <v>0</v>
      </c>
      <c r="D48" s="5">
        <f>IF(AND($A48&gt;=2004,$A48&lt;2007),1,0)</f>
        <v>0</v>
      </c>
      <c r="E48" s="5">
        <f>IF(AND($A48&gt;=2007,$A48&lt;2010),1,0)</f>
        <v>1</v>
      </c>
      <c r="F48" s="5">
        <f>($A48-1998)/3*B48+(2004-$A48)/3*C48</f>
        <v>0</v>
      </c>
      <c r="G48" s="5">
        <f>($A48-2001)/3*C48+(2007-$A48)/3*D48</f>
        <v>0</v>
      </c>
      <c r="H48" s="5">
        <f>($A48-2004)/3*D48+(2010-$A48)/3*E48</f>
        <v>0.66666666666666663</v>
      </c>
      <c r="I48" s="5">
        <f>($A48-1998)/6*F48+(2007-$A48)/6*G48</f>
        <v>0</v>
      </c>
      <c r="J48" s="5">
        <f>($A48-2001)/6*G48+(2010-$A48)/6*H48</f>
        <v>0.22222222222222221</v>
      </c>
      <c r="K48" s="5">
        <f>($A48-1998)/9*I48+(2010-$A48)/9*J48</f>
        <v>0.049382716049382713</v>
      </c>
    </row>
    <row r="49">
      <c r="A49" s="3" t="n">
        <v>2009</v>
      </c>
      <c r="B49" s="5">
        <f>IF(AND($A49&gt;=1998,$A49&lt;2001),1,0)</f>
        <v>0</v>
      </c>
      <c r="C49" s="5">
        <f>IF(AND($A49&gt;=2001,$A49&lt;2004),1,0)</f>
        <v>0</v>
      </c>
      <c r="D49" s="5">
        <f>IF(AND($A49&gt;=2004,$A49&lt;2007),1,0)</f>
        <v>0</v>
      </c>
      <c r="E49" s="5">
        <f>IF(AND($A49&gt;=2007,$A49&lt;2010),1,0)</f>
        <v>1</v>
      </c>
      <c r="F49" s="5">
        <f>($A49-1998)/3*B49+(2004-$A49)/3*C49</f>
        <v>0</v>
      </c>
      <c r="G49" s="5">
        <f>($A49-2001)/3*C49+(2007-$A49)/3*D49</f>
        <v>0</v>
      </c>
      <c r="H49" s="5">
        <f>($A49-2004)/3*D49+(2010-$A49)/3*E49</f>
        <v>0.33333333333333331</v>
      </c>
      <c r="I49" s="5">
        <f>($A49-1998)/6*F49+(2007-$A49)/6*G49</f>
        <v>0</v>
      </c>
      <c r="J49" s="5">
        <f>($A49-2001)/6*G49+(2010-$A49)/6*H49</f>
        <v>0.055555555555555552</v>
      </c>
      <c r="K49" s="5">
        <f>($A49-1998)/9*I49+(2010-$A49)/9*J49</f>
        <v>0.0061728395061728392</v>
      </c>
    </row>
    <row r="50">
      <c r="A50" s="3" t="n">
        <v>2010</v>
      </c>
      <c r="B50" s="5">
        <f>IF(AND($A50&gt;=1998,$A50&lt;2001),1,0)</f>
        <v>0</v>
      </c>
      <c r="C50" s="5">
        <f>IF(AND($A50&gt;=2001,$A50&lt;2004),1,0)</f>
        <v>0</v>
      </c>
      <c r="D50" s="5">
        <f>IF(AND($A50&gt;=2004,$A50&lt;2007),1,0)</f>
        <v>0</v>
      </c>
      <c r="E50" s="5">
        <f>IF(AND($A50&gt;=2007,$A50&lt;2010),1,0)</f>
        <v>0</v>
      </c>
      <c r="F50" s="5">
        <f>($A50-1998)/3*B50+(2004-$A50)/3*C50</f>
        <v>0</v>
      </c>
      <c r="G50" s="5">
        <f>($A50-2001)/3*C50+(2007-$A50)/3*D50</f>
        <v>0</v>
      </c>
      <c r="H50" s="5">
        <f>($A50-2004)/3*D50+(2010-$A50)/3*E50</f>
        <v>0</v>
      </c>
      <c r="I50" s="5">
        <f>($A50-1998)/6*F50+(2007-$A50)/6*G50</f>
        <v>0</v>
      </c>
      <c r="J50" s="5">
        <f>($A50-2001)/6*G50+(2010-$A50)/6*H50</f>
        <v>0</v>
      </c>
      <c r="K50" s="5">
        <f>($A50-1998)/9*I50+(2010-$A50)/9*J50</f>
        <v>0</v>
      </c>
    </row>
    <row r="51">
      <c r="A51" s="3" t="n">
        <v>2011</v>
      </c>
      <c r="B51" s="5">
        <f>IF(AND($A51&gt;=1998,$A51&lt;2001),1,0)</f>
        <v>0</v>
      </c>
      <c r="C51" s="5">
        <f>IF(AND($A51&gt;=2001,$A51&lt;2004),1,0)</f>
        <v>0</v>
      </c>
      <c r="D51" s="5">
        <f>IF(AND($A51&gt;=2004,$A51&lt;2007),1,0)</f>
        <v>0</v>
      </c>
      <c r="E51" s="5">
        <f>IF(AND($A51&gt;=2007,$A51&lt;2010),1,0)</f>
        <v>0</v>
      </c>
      <c r="F51" s="5">
        <f>($A51-1998)/3*B51+(2004-$A51)/3*C51</f>
        <v>0</v>
      </c>
      <c r="G51" s="5">
        <f>($A51-2001)/3*C51+(2007-$A51)/3*D51</f>
        <v>0</v>
      </c>
      <c r="H51" s="5">
        <f>($A51-2004)/3*D51+(2010-$A51)/3*E51</f>
        <v>0</v>
      </c>
      <c r="I51" s="5">
        <f>($A51-1998)/6*F51+(2007-$A51)/6*G51</f>
        <v>0</v>
      </c>
      <c r="J51" s="5">
        <f>($A51-2001)/6*G51+(2010-$A51)/6*H51</f>
        <v>0</v>
      </c>
      <c r="K51" s="5">
        <f>($A51-1998)/9*I51+(2010-$A51)/9*J51</f>
        <v>0</v>
      </c>
    </row>
    <row r="52">
      <c r="A52" s="3" t="n">
        <v>2012</v>
      </c>
      <c r="B52" s="5">
        <f>IF(AND($A52&gt;=1998,$A52&lt;2001),1,0)</f>
        <v>0</v>
      </c>
      <c r="C52" s="5">
        <f>IF(AND($A52&gt;=2001,$A52&lt;2004),1,0)</f>
        <v>0</v>
      </c>
      <c r="D52" s="5">
        <f>IF(AND($A52&gt;=2004,$A52&lt;2007),1,0)</f>
        <v>0</v>
      </c>
      <c r="E52" s="5">
        <f>IF(AND($A52&gt;=2007,$A52&lt;2010),1,0)</f>
        <v>0</v>
      </c>
      <c r="F52" s="5">
        <f>($A52-1998)/3*B52+(2004-$A52)/3*C52</f>
        <v>0</v>
      </c>
      <c r="G52" s="5">
        <f>($A52-2001)/3*C52+(2007-$A52)/3*D52</f>
        <v>0</v>
      </c>
      <c r="H52" s="5">
        <f>($A52-2004)/3*D52+(2010-$A52)/3*E52</f>
        <v>0</v>
      </c>
      <c r="I52" s="5">
        <f>($A52-1998)/6*F52+(2007-$A52)/6*G52</f>
        <v>0</v>
      </c>
      <c r="J52" s="5">
        <f>($A52-2001)/6*G52+(2010-$A52)/6*H52</f>
        <v>0</v>
      </c>
      <c r="K52" s="5">
        <f>($A52-1998)/9*I52+(2010-$A52)/9*J52</f>
        <v>0</v>
      </c>
    </row>
    <row r="53">
      <c r="A53" s="3" t="n">
        <v>2013</v>
      </c>
      <c r="B53" s="5">
        <f>IF(AND($A53&gt;=1998,$A53&lt;2001),1,0)</f>
        <v>0</v>
      </c>
      <c r="C53" s="5">
        <f>IF(AND($A53&gt;=2001,$A53&lt;2004),1,0)</f>
        <v>0</v>
      </c>
      <c r="D53" s="5">
        <f>IF(AND($A53&gt;=2004,$A53&lt;2007),1,0)</f>
        <v>0</v>
      </c>
      <c r="E53" s="5">
        <f>IF(AND($A53&gt;=2007,$A53&lt;2010),1,0)</f>
        <v>0</v>
      </c>
      <c r="F53" s="5">
        <f>($A53-1998)/3*B53+(2004-$A53)/3*C53</f>
        <v>0</v>
      </c>
      <c r="G53" s="5">
        <f>($A53-2001)/3*C53+(2007-$A53)/3*D53</f>
        <v>0</v>
      </c>
      <c r="H53" s="5">
        <f>($A53-2004)/3*D53+(2010-$A53)/3*E53</f>
        <v>0</v>
      </c>
      <c r="I53" s="5">
        <f>($A53-1998)/6*F53+(2007-$A53)/6*G53</f>
        <v>0</v>
      </c>
      <c r="J53" s="5">
        <f>($A53-2001)/6*G53+(2010-$A53)/6*H53</f>
        <v>0</v>
      </c>
      <c r="K53" s="5">
        <f>($A53-1998)/9*I53+(2010-$A53)/9*J53</f>
        <v>0</v>
      </c>
    </row>
  </sheetData>
  <mergeCells count="11">
    <mergeCell ref="A17:N17"/>
    <mergeCell ref="A9:N9"/>
    <mergeCell ref="A31:N31"/>
    <mergeCell ref="A3:N3"/>
    <mergeCell ref="A21:N21"/>
    <mergeCell ref="A15:N15"/>
    <mergeCell ref="A7:N7"/>
    <mergeCell ref="A19:N19"/>
    <mergeCell ref="A11:N11"/>
    <mergeCell ref="A5:N5"/>
    <mergeCell ref="A13:N1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0"/>
    <pageSetUpPr fitToPage="1"/>
  </sheetPr>
  <dimension ref="A1:N30"/>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16"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Question 2 — workbook guide and instructor correction</t>
        </is>
      </c>
    </row>
    <row r="2" ht="42" customHeight="1">
      <c r="A2" s="2" t="inlineStr">
        <is>
          <t>Original sheets M_70_t and Sheet1 are preserved. Source: uploaded M_70_t.xlsx. Added sheets contain all Q2 calculations. Input rates have units of deaths per person-year; coefficients describe natural-log mortality; the B-spline basis is dimensionless.</t>
        </is>
      </c>
    </row>
    <row r="3"/>
    <row r="4" ht="42" customHeight="1">
      <c r="A4" s="2" t="inlineStr">
        <is>
          <t>Instructor correction supplied by the user: treat (b) and (c) independently. For (c), refit both M1 and M2 using M_70_t data and refer to age 70 in the discussion, although the instructor states the spreadsheet rates actually belong to age 25.</t>
        </is>
      </c>
    </row>
    <row r="5"/>
    <row r="6">
      <c r="A6" s="1" t="inlineStr">
        <is>
          <t>Part (b) inputs from assignment PDF (independent of spreadsheet observations)</t>
        </is>
      </c>
    </row>
    <row r="7">
      <c r="A7" s="3" t="inlineStr">
        <is>
          <t>Year</t>
        </is>
      </c>
      <c r="B7" s="3" t="inlineStr">
        <is>
          <t>Central death rate</t>
        </is>
      </c>
    </row>
    <row r="8">
      <c r="A8" s="3" t="n">
        <v>1995</v>
      </c>
      <c r="B8" s="3" t="n">
        <v>0.0235</v>
      </c>
    </row>
    <row r="9">
      <c r="A9" s="3" t="n">
        <v>1998</v>
      </c>
      <c r="B9" s="3" t="n">
        <v>0.0207</v>
      </c>
    </row>
    <row r="10">
      <c r="A10" s="3" t="n">
        <v>2001</v>
      </c>
      <c r="B10" s="3" t="n">
        <v>0.0183</v>
      </c>
    </row>
    <row r="11">
      <c r="A11" s="3" t="n">
        <v>2004</v>
      </c>
      <c r="B11" s="3" t="n">
        <v>0.0166</v>
      </c>
    </row>
    <row r="12"/>
    <row r="13" ht="42" customHeight="1">
      <c r="A13" s="2" t="inlineStr">
        <is>
          <t>Part (b) uses exactly the four rates above: no interpolation of missing annual observations and no use of M_70_t data in estimation. Annual fitted values are model evaluations, not invented observations.</t>
        </is>
      </c>
    </row>
    <row r="14"/>
    <row r="15" ht="42" customHeight="1">
      <c r="A15" s="2" t="inlineStr">
        <is>
          <t>Part (c) uses M_70_t!A2:B11 (1995–2004) to estimate both models. Rows A12:B26 (2005–2019) are retained as out-of-sample observations for plotting only; they do not enter SSE or the normal equations.</t>
        </is>
      </c>
    </row>
    <row r="16"/>
    <row r="17" ht="42" customHeight="1">
      <c r="A17" s="2" t="inlineStr">
        <is>
          <t>Q2(a)_Derivation: recursion and support; Q2(b)_M1: independent four-point M1; Q2(c)_M1: refitted M1; Q2(c)_M2: annual-knot M2; Q2(c)_Comparison: three curves and responses to Kevin.</t>
        </is>
      </c>
    </row>
    <row r="18"/>
    <row r="19" ht="42" customHeight="1">
      <c r="A19" s="2" t="inlineStr">
        <is>
          <t>No extra objective, nonnegativity constraint, automatic smoothing selection is used. As confirmed by the user, LN(m) is the response, following Unit 4 pp.79–80 and Week11_Q1sol.xlsx; EXP converts fitted log rates back to mortality. lambda=1 and the second-order coefficient penalty are applied exactly as L=SSE+(lambda/2)*Penalty.</t>
        </is>
      </c>
    </row>
    <row r="20"/>
    <row r="21" ht="42" customHeight="1">
      <c r="A21" s="2" t="inlineStr">
        <is>
          <t>Method reference: assignment Q2 Cox–de Boor construction and coefficient second-difference projection. The zero-second-difference forecast continues the final coefficient slope. Cross-checked against Unit 4 pp.63–64,79–81 and Week11_Q1sol.xlsx. Unit 4 p.88 uses a third-order example; this assignment specifies second order, so the Week 11 second-order extension is used.</t>
        </is>
      </c>
    </row>
    <row r="22"/>
    <row r="23"/>
    <row r="24"/>
    <row r="25">
      <c r="A25" s="3" t="inlineStr">
        <is>
          <t>Year</t>
        </is>
      </c>
      <c r="B25" s="3" t="inlineStr">
        <is>
          <t>Part (b) M1 projection</t>
        </is>
      </c>
    </row>
    <row r="26">
      <c r="A26" s="3" t="n">
        <v>2007</v>
      </c>
      <c r="B26" s="5">
        <f>'Q2(b)_M1'!C20</f>
        <v>0.014826547317972014</v>
      </c>
    </row>
    <row r="27">
      <c r="A27" s="3" t="n">
        <v>2010</v>
      </c>
      <c r="B27" s="5">
        <f>'Q2(b)_M1'!C23</f>
        <v>0.013316993518265249</v>
      </c>
    </row>
    <row r="28">
      <c r="A28" s="3" t="n">
        <v>2013</v>
      </c>
      <c r="B28" s="5">
        <f>'Q2(b)_M1'!C26</f>
        <v>0.011961133806962123</v>
      </c>
    </row>
    <row r="29">
      <c r="A29" s="3" t="n">
        <v>2016</v>
      </c>
      <c r="B29" s="5">
        <f>'Q2(b)_M1'!C29</f>
        <v>0.010743319935676381</v>
      </c>
    </row>
    <row r="30">
      <c r="A30" s="3" t="n">
        <v>2019</v>
      </c>
      <c r="B30" s="5">
        <f>'Q2(b)_M1'!C32</f>
        <v>0.0096494968706997159</v>
      </c>
    </row>
  </sheetData>
  <mergeCells count="7">
    <mergeCell ref="A17:N17"/>
    <mergeCell ref="A4:N4"/>
    <mergeCell ref="A21:N21"/>
    <mergeCell ref="A2:N2"/>
    <mergeCell ref="A15:N15"/>
    <mergeCell ref="A19:N19"/>
    <mergeCell ref="A13:N13"/>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0"/>
    <pageSetUpPr fitToPage="1"/>
  </sheetPr>
  <dimension ref="A1:AY18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24"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Q2(b): M1, four assignment observations</t>
        </is>
      </c>
    </row>
    <row r="2" ht="42" customHeight="1">
      <c r="A2" s="2" t="inlineStr">
        <is>
          <t>Fit only the stated training observations. Cubic B-splines have order 4 and support [t_j,t_j+4h). Observed/output rates are annual central death rates (per person-year). The response and fitted coefficients are on the natural-log mortality scale; knot locations are calendar years.</t>
        </is>
      </c>
    </row>
    <row r="3"/>
    <row r="4">
      <c r="A4" s="3" t="inlineStr">
        <is>
          <t>lambda</t>
        </is>
      </c>
      <c r="B4" s="3" t="n">
        <v>1</v>
      </c>
      <c r="C4" s="3" t="inlineStr">
        <is>
          <t>Knot step h</t>
        </is>
      </c>
      <c r="D4" s="3" t="n">
        <v>3</v>
      </c>
    </row>
    <row r="5" ht="42" customHeight="1">
      <c r="A5" s="2" t="inlineStr">
        <is>
          <t>Log-scale objective: L=SSE+(lambda/2)*SUM((theta_j−2*theta_(j−1)+theta_(j−2))^2). Normal equations: [BᵀB+(lambda/2)D₂ᵀD₂]theta=BᵀLN(m). SSE=SUM((LN(m)−B*theta)^2). No nonnegativity constraint, tuning, or extra penalty is used.</t>
        </is>
      </c>
    </row>
    <row r="6"/>
    <row r="7" ht="34" customHeight="1">
      <c r="A7" s="6" t="inlineStr">
        <is>
          <t>Year</t>
        </is>
      </c>
      <c r="B7" s="6" t="inlineStr">
        <is>
          <t>Observed rate</t>
        </is>
      </c>
      <c r="C7" s="6" t="inlineStr">
        <is>
          <t>Fitted / projected</t>
        </is>
      </c>
      <c r="D7" s="6" t="inlineStr">
        <is>
          <t>Period</t>
        </is>
      </c>
      <c r="E7" s="6" t="inlineStr">
        <is>
          <t>Training residual</t>
        </is>
      </c>
      <c r="F7" s="6" t="inlineStr">
        <is>
          <t>Log residual²</t>
        </is>
      </c>
      <c r="G7" s="6" t="inlineStr">
        <is>
          <t>Fitted / projected LN(m)</t>
        </is>
      </c>
    </row>
    <row r="8" ht="31" customHeight="1">
      <c r="A8" s="4" t="n">
        <v>1995</v>
      </c>
      <c r="B8" s="5">
        <f>'Q2_ReadMe'!B8</f>
        <v>0.0235</v>
      </c>
      <c r="C8" s="5">
        <f>EXP(G8)</f>
        <v>0.023424538435580337</v>
      </c>
      <c r="D8" s="3" t="inlineStr">
        <is>
          <t>Fitted</t>
        </is>
      </c>
      <c r="E8" s="5">
        <f>LN(B8)-G8</f>
        <v>0.0032162971437506016</v>
      </c>
      <c r="F8" s="5">
        <f>E8^2</f>
        <v>1.0344567316898277e-05</v>
      </c>
      <c r="G8" s="5">
        <f t="array" ref="G8">MMULT(AO150:AY150,$I$15:$I$25)</f>
        <v>-3.7539711549757744</v>
      </c>
      <c r="H8" s="7" t="inlineStr">
        <is>
          <t>SSE</t>
        </is>
      </c>
      <c r="I8" s="8">
        <f>SUM(F8:F17)</f>
        <v>9.4615696441946662e-05</v>
      </c>
    </row>
    <row r="9" ht="31" customHeight="1">
      <c r="A9" s="4" t="n">
        <v>1996</v>
      </c>
      <c r="C9" s="5">
        <f>EXP(G9)</f>
        <v>0.022478878954776006</v>
      </c>
      <c r="D9" s="3" t="inlineStr">
        <is>
          <t>Fitted</t>
        </is>
      </c>
      <c r="G9" s="5">
        <f t="array" ref="G9">MMULT(AO151:AY151,$I$15:$I$25)</f>
        <v>-3.7951791237599108</v>
      </c>
      <c r="H9" s="7" t="inlineStr">
        <is>
          <t>Penalty (estimated theta only)</t>
        </is>
      </c>
      <c r="I9" s="8">
        <f>SUM(K17:K20)</f>
        <v>0.00010744317626969983</v>
      </c>
    </row>
    <row r="10" ht="31" customHeight="1">
      <c r="A10" s="4" t="n">
        <v>1997</v>
      </c>
      <c r="C10" s="5">
        <f>EXP(G10)</f>
        <v>0.021577950566925998</v>
      </c>
      <c r="D10" s="3" t="inlineStr">
        <is>
          <t>Fitted</t>
        </is>
      </c>
      <c r="G10" s="5">
        <f t="array" ref="G10">MMULT(AO152:AY152,$I$15:$I$25)</f>
        <v>-3.8360832927571793</v>
      </c>
      <c r="H10" s="7" t="inlineStr">
        <is>
          <t>L = SSE + lambda/2*Penalty</t>
        </is>
      </c>
      <c r="I10" s="8">
        <f>I8+$B$4/2*I9</f>
        <v>0.00014833728457679658</v>
      </c>
    </row>
    <row r="11">
      <c r="A11" s="4" t="n">
        <v>1998</v>
      </c>
      <c r="B11" s="5">
        <f>'Q2_ReadMe'!B9</f>
        <v>0.0207</v>
      </c>
      <c r="C11" s="5">
        <f>EXP(G11)</f>
        <v>0.02072325075250361</v>
      </c>
      <c r="D11" s="3" t="inlineStr">
        <is>
          <t>Fitted</t>
        </is>
      </c>
      <c r="E11" s="5">
        <f>LN(B11)-G11</f>
        <v>-0.001122594413667688</v>
      </c>
      <c r="F11" s="5">
        <f>E11^2</f>
        <v>1.2602182175979002e-06</v>
      </c>
      <c r="G11" s="5">
        <f t="array" ref="G11">MMULT(AO153:AY153,$I$15:$I$25)</f>
        <v>-3.8764989842971458</v>
      </c>
    </row>
    <row r="12">
      <c r="A12" s="4" t="n">
        <v>1999</v>
      </c>
      <c r="C12" s="5">
        <f>EXP(G12)</f>
        <v>0.01991545179917149</v>
      </c>
      <c r="D12" s="3" t="inlineStr">
        <is>
          <t>Fitted</t>
        </is>
      </c>
      <c r="G12" s="5">
        <f t="array" ref="G12">MMULT(AO154:AY154,$I$15:$I$25)</f>
        <v>-3.9162593762301903</v>
      </c>
    </row>
    <row r="13">
      <c r="A13" s="4" t="n">
        <v>2000</v>
      </c>
      <c r="C13" s="5">
        <f>EXP(G13)</f>
        <v>0.019153514249088587</v>
      </c>
      <c r="D13" s="3" t="inlineStr">
        <is>
          <t>Fitted</t>
        </is>
      </c>
      <c r="G13" s="5">
        <f t="array" ref="G13">MMULT(AO155:AY155,$I$15:$I$25)</f>
        <v>-3.9552690684899408</v>
      </c>
    </row>
    <row r="14" ht="34" customHeight="1">
      <c r="A14" s="9" t="n">
        <v>2001</v>
      </c>
      <c r="B14" s="10">
        <f>'Q2_ReadMe'!B10</f>
        <v>0.0183</v>
      </c>
      <c r="C14" s="10">
        <f>EXP(G14)</f>
        <v>0.018435990553267632</v>
      </c>
      <c r="D14" s="6" t="inlineStr">
        <is>
          <t>Fitted</t>
        </is>
      </c>
      <c r="E14" s="10">
        <f>LN(B14)-G14</f>
        <v>-0.007403702603922202</v>
      </c>
      <c r="F14" s="10">
        <f>E14^2</f>
        <v>5.4814812247324393e-05</v>
      </c>
      <c r="G14" s="10">
        <f t="array" ref="G14">MMULT(AO156:AY156,$I$15:$I$25)</f>
        <v>-3.9934505165308392</v>
      </c>
      <c r="H14" s="6" t="inlineStr">
        <is>
          <t>Coefficient knot</t>
        </is>
      </c>
      <c r="I14" s="6" t="inlineStr">
        <is>
          <t>theta</t>
        </is>
      </c>
      <c r="J14" s="6" t="inlineStr">
        <is>
          <t>Second difference</t>
        </is>
      </c>
      <c r="K14" s="6" t="inlineStr">
        <is>
          <t>Squared difference</t>
        </is>
      </c>
      <c r="L14" s="6" t="inlineStr">
        <is>
          <t>Status</t>
        </is>
      </c>
    </row>
    <row r="15">
      <c r="A15" s="4" t="n">
        <v>2002</v>
      </c>
      <c r="C15" s="5">
        <f>EXP(G15)</f>
        <v>0.017760498101236456</v>
      </c>
      <c r="D15" s="3" t="inlineStr">
        <is>
          <t>Fitted</t>
        </is>
      </c>
      <c r="G15" s="5">
        <f t="array" ref="G15">MMULT(AO157:AY157,$I$15:$I$25)</f>
        <v>-4.0307784955706101</v>
      </c>
      <c r="H15" s="3" t="n">
        <v>1986</v>
      </c>
      <c r="I15" s="8">
        <f t="array" ref="I15">INDEX(MMULT(MINVERSE($C$91:$H$96),$J$91:$J$96),1,1)</f>
        <v>-3.6297188602641901</v>
      </c>
      <c r="L15" s="3" t="inlineStr">
        <is>
          <t>Estimated</t>
        </is>
      </c>
    </row>
    <row r="16">
      <c r="A16" s="4" t="n">
        <v>2003</v>
      </c>
      <c r="C16" s="5">
        <f>EXP(G16)</f>
        <v>0.017121212967377859</v>
      </c>
      <c r="D16" s="3" t="inlineStr">
        <is>
          <t>Fitted</t>
        </is>
      </c>
      <c r="G16" s="5">
        <f t="array" ref="G16">MMULT(AO158:AY158,$I$15:$I$25)</f>
        <v>-4.067437059880108</v>
      </c>
      <c r="H16" s="3" t="n">
        <v>1989</v>
      </c>
      <c r="I16" s="8">
        <f t="array" ref="I16">INDEX(MMULT(MINVERSE($C$91:$H$96),$J$91:$J$96),2,1)</f>
        <v>-3.7541498381504272</v>
      </c>
      <c r="L16" s="3" t="inlineStr">
        <is>
          <t>Estimated</t>
        </is>
      </c>
    </row>
    <row r="17">
      <c r="A17" s="4" t="n">
        <v>2004</v>
      </c>
      <c r="B17" s="5">
        <f>'Q2_ReadMe'!B11</f>
        <v>0.0166</v>
      </c>
      <c r="C17" s="5">
        <f>EXP(G17)</f>
        <v>0.016512087616033656</v>
      </c>
      <c r="D17" s="3" t="inlineStr">
        <is>
          <t>Fitted</t>
        </is>
      </c>
      <c r="E17" s="5">
        <f>LN(B17)-G17</f>
        <v>0.0053099998738348475</v>
      </c>
      <c r="F17" s="5">
        <f>E17^2</f>
        <v>2.8196098660126095e-05</v>
      </c>
      <c r="G17" s="5">
        <f t="array" ref="G17">MMULT(AO159:AY159,$I$15:$I$25)</f>
        <v>-4.1036625834934739</v>
      </c>
      <c r="H17" s="3" t="n">
        <v>1992</v>
      </c>
      <c r="I17" s="8">
        <f t="array" ref="I17">INDEX(MMULT(MINVERSE($C$91:$H$96),$J$91:$J$96),3,1)</f>
        <v>-3.8775087169887481</v>
      </c>
      <c r="J17" s="5">
        <f>I17-2*I16+I15</f>
        <v>0.0010720990479162751</v>
      </c>
      <c r="K17" s="5">
        <f>J17^2</f>
        <v>1.1493963685429834e-06</v>
      </c>
      <c r="L17" s="3" t="inlineStr">
        <is>
          <t>Estimated</t>
        </is>
      </c>
    </row>
    <row r="18">
      <c r="A18" s="4" t="n">
        <v>2005</v>
      </c>
      <c r="C18" s="5">
        <f>EXP(G18)</f>
        <v>0.015928218876467629</v>
      </c>
      <c r="D18" s="3" t="inlineStr">
        <is>
          <t>Projected</t>
        </is>
      </c>
      <c r="G18" s="5">
        <f t="array" ref="G18">MMULT(AO160:AY160,$I$15:$I$25)</f>
        <v>-4.139662970698156</v>
      </c>
      <c r="H18" s="3" t="n">
        <v>1995</v>
      </c>
      <c r="I18" s="8">
        <f t="array" ref="I18">INDEX(MMULT(MINVERSE($C$91:$H$96),$J$91:$J$96),4,1)</f>
        <v>-3.9948091996774555</v>
      </c>
      <c r="J18" s="5">
        <f>I18-2*I17+I16</f>
        <v>0.0060583961496134542</v>
      </c>
      <c r="K18" s="5">
        <f>J18^2</f>
        <v>3.6704163905651129e-05</v>
      </c>
      <c r="L18" s="3" t="inlineStr">
        <is>
          <t>Estimated</t>
        </is>
      </c>
    </row>
    <row r="19">
      <c r="A19" s="4" t="n">
        <v>2006</v>
      </c>
      <c r="C19" s="5">
        <f>EXP(G19)</f>
        <v>0.015367010435949929</v>
      </c>
      <c r="D19" s="3" t="inlineStr">
        <is>
          <t>Projected</t>
        </is>
      </c>
      <c r="G19" s="5">
        <f t="array" ref="G19">MMULT(AO161:AY161,$I$15:$I$25)</f>
        <v>-4.175532246794841</v>
      </c>
      <c r="H19" s="3" t="n">
        <v>1998</v>
      </c>
      <c r="I19" s="8">
        <f t="array" ref="I19">INDEX(MMULT(MINVERSE($C$91:$H$96),$J$91:$J$96),5,1)</f>
        <v>-4.1039575834864648</v>
      </c>
      <c r="J19" s="5">
        <f>I19-2*I18+I17</f>
        <v>0.0081520988796981442</v>
      </c>
      <c r="K19" s="5">
        <f>J19^2</f>
        <v>6.6456716144375737e-05</v>
      </c>
      <c r="L19" s="3" t="inlineStr">
        <is>
          <t>Estimated</t>
        </is>
      </c>
    </row>
    <row r="20">
      <c r="A20" s="4" t="n">
        <v>2007</v>
      </c>
      <c r="C20" s="5">
        <f>EXP(G20)</f>
        <v>0.014826547317972014</v>
      </c>
      <c r="D20" s="3" t="inlineStr">
        <is>
          <t>Projected</t>
        </is>
      </c>
      <c r="G20" s="5">
        <f t="array" ref="G20">MMULT(AO162:AY162,$I$15:$I$25)</f>
        <v>-4.2113359673375292</v>
      </c>
      <c r="H20" s="3" t="n">
        <v>2001</v>
      </c>
      <c r="I20" s="8">
        <f t="array" ref="I20">INDEX(MMULT(MINVERSE($C$91:$H$96),$J$91:$J$96),6,1)</f>
        <v>-4.2113359673375292</v>
      </c>
      <c r="J20" s="5">
        <f>I20-2*I19+I18</f>
        <v>0.0017699999579448011</v>
      </c>
      <c r="K20" s="5">
        <f>J20^2</f>
        <v>3.1328998511245978e-06</v>
      </c>
      <c r="L20" s="3" t="inlineStr">
        <is>
          <t>Estimated</t>
        </is>
      </c>
    </row>
    <row r="21">
      <c r="A21" s="4" t="n">
        <v>2008</v>
      </c>
      <c r="C21" s="5">
        <f>EXP(G21)</f>
        <v>0.014305248773630602</v>
      </c>
      <c r="D21" s="3" t="inlineStr">
        <is>
          <t>Projected</t>
        </is>
      </c>
      <c r="G21" s="5">
        <f t="array" ref="G21">MMULT(AO163:AY163,$I$15:$I$25)</f>
        <v>-4.247128761954551</v>
      </c>
      <c r="H21" s="3" t="n">
        <v>2004</v>
      </c>
      <c r="I21" s="8">
        <f>2*I20-I19</f>
        <v>-4.3187143511885937</v>
      </c>
      <c r="J21" s="5">
        <f>I21-2*I20+I19</f>
        <v>0</v>
      </c>
      <c r="K21" s="5">
        <f>J21^2</f>
        <v>0</v>
      </c>
      <c r="L21" s="3" t="inlineStr">
        <is>
          <t>Projected: Δ²theta=0</t>
        </is>
      </c>
    </row>
    <row r="22">
      <c r="A22" s="4" t="n">
        <v>2009</v>
      </c>
      <c r="C22" s="5">
        <f>EXP(G22)</f>
        <v>0.013802278985573752</v>
      </c>
      <c r="D22" s="3" t="inlineStr">
        <is>
          <t>Projected</t>
        </is>
      </c>
      <c r="G22" s="5">
        <f t="array" ref="G22">MMULT(AO164:AY164,$I$15:$I$25)</f>
        <v>-4.2829215565715719</v>
      </c>
      <c r="H22" s="3" t="n">
        <v>2007</v>
      </c>
      <c r="I22" s="8">
        <f>2*I21-I20</f>
        <v>-4.4260927350396582</v>
      </c>
      <c r="J22" s="5">
        <f>I22-2*I21+I20</f>
        <v>0</v>
      </c>
      <c r="K22" s="5">
        <f>J22^2</f>
        <v>0</v>
      </c>
      <c r="L22" s="3" t="inlineStr">
        <is>
          <t>Projected: Δ²theta=0</t>
        </is>
      </c>
    </row>
    <row r="23">
      <c r="A23" s="4" t="n">
        <v>2010</v>
      </c>
      <c r="C23" s="5">
        <f>EXP(G23)</f>
        <v>0.013316993518265249</v>
      </c>
      <c r="D23" s="3" t="inlineStr">
        <is>
          <t>Projected</t>
        </is>
      </c>
      <c r="G23" s="5">
        <f t="array" ref="G23">MMULT(AO165:AY165,$I$15:$I$25)</f>
        <v>-4.3187143511885937</v>
      </c>
      <c r="H23" s="3" t="n">
        <v>2010</v>
      </c>
      <c r="I23" s="8">
        <f>2*I22-I21</f>
        <v>-4.5334711188907226</v>
      </c>
      <c r="J23" s="5">
        <f>I23-2*I22+I21</f>
        <v>0</v>
      </c>
      <c r="K23" s="5">
        <f>J23^2</f>
        <v>0</v>
      </c>
      <c r="L23" s="3" t="inlineStr">
        <is>
          <t>Projected: Δ²theta=0</t>
        </is>
      </c>
    </row>
    <row r="24">
      <c r="A24" s="4" t="n">
        <v>2011</v>
      </c>
      <c r="C24" s="5">
        <f>EXP(G24)</f>
        <v>0.012848770594398097</v>
      </c>
      <c r="D24" s="3" t="inlineStr">
        <is>
          <t>Projected</t>
        </is>
      </c>
      <c r="G24" s="5">
        <f t="array" ref="G24">MMULT(AO166:AY166,$I$15:$I$25)</f>
        <v>-4.3545071458056146</v>
      </c>
      <c r="H24" s="3" t="n">
        <v>2013</v>
      </c>
      <c r="I24" s="8">
        <f>2*I23-I22</f>
        <v>-4.6408495027417871</v>
      </c>
      <c r="J24" s="5">
        <f>I24-2*I23+I22</f>
        <v>0</v>
      </c>
      <c r="K24" s="5">
        <f>J24^2</f>
        <v>0</v>
      </c>
      <c r="L24" s="3" t="inlineStr">
        <is>
          <t>Projected: Δ²theta=0</t>
        </is>
      </c>
    </row>
    <row r="25">
      <c r="A25" s="4" t="n">
        <v>2012</v>
      </c>
      <c r="C25" s="5">
        <f>EXP(G25)</f>
        <v>0.012397010298235443</v>
      </c>
      <c r="D25" s="3" t="inlineStr">
        <is>
          <t>Projected</t>
        </is>
      </c>
      <c r="G25" s="5">
        <f t="array" ref="G25">MMULT(AO167:AY167,$I$15:$I$25)</f>
        <v>-4.3902999404226373</v>
      </c>
      <c r="H25" s="3" t="n">
        <v>2016</v>
      </c>
      <c r="I25" s="8">
        <f>2*I24-I23</f>
        <v>-4.7482278865928516</v>
      </c>
      <c r="J25" s="5">
        <f>I25-2*I24+I23</f>
        <v>0</v>
      </c>
      <c r="K25" s="5">
        <f>J25^2</f>
        <v>0</v>
      </c>
      <c r="L25" s="3" t="inlineStr">
        <is>
          <t>Projected: Δ²theta=0</t>
        </is>
      </c>
    </row>
    <row r="26">
      <c r="A26" s="4" t="n">
        <v>2013</v>
      </c>
      <c r="C26" s="5">
        <f>EXP(G26)</f>
        <v>0.011961133806962123</v>
      </c>
      <c r="D26" s="3" t="inlineStr">
        <is>
          <t>Projected</t>
        </is>
      </c>
      <c r="G26" s="5">
        <f t="array" ref="G26">MMULT(AO168:AY168,$I$15:$I$25)</f>
        <v>-4.4260927350396582</v>
      </c>
    </row>
    <row r="27">
      <c r="A27" s="4" t="n">
        <v>2014</v>
      </c>
      <c r="C27" s="5">
        <f>EXP(G27)</f>
        <v>0.011540582649061453</v>
      </c>
      <c r="D27" s="3" t="inlineStr">
        <is>
          <t>Projected</t>
        </is>
      </c>
      <c r="G27" s="5">
        <f t="array" ref="G27">MMULT(AO169:AY169,$I$15:$I$25)</f>
        <v>-4.4618855296566799</v>
      </c>
    </row>
    <row r="28">
      <c r="A28" s="4" t="n">
        <v>2015</v>
      </c>
      <c r="C28" s="5">
        <f>EXP(G28)</f>
        <v>0.01113481798876762</v>
      </c>
      <c r="D28" s="3" t="inlineStr">
        <is>
          <t>Projected</t>
        </is>
      </c>
      <c r="G28" s="5">
        <f t="array" ref="G28">MMULT(AO170:AY170,$I$15:$I$25)</f>
        <v>-4.4976783242737008</v>
      </c>
    </row>
    <row r="29">
      <c r="A29" s="4" t="n">
        <v>2016</v>
      </c>
      <c r="C29" s="5">
        <f>EXP(G29)</f>
        <v>0.010743319935676381</v>
      </c>
      <c r="D29" s="3" t="inlineStr">
        <is>
          <t>Projected</t>
        </is>
      </c>
      <c r="G29" s="5">
        <f t="array" ref="G29">MMULT(AO171:AY171,$I$15:$I$25)</f>
        <v>-4.5334711188907226</v>
      </c>
    </row>
    <row r="30">
      <c r="A30" s="4" t="n">
        <v>2017</v>
      </c>
      <c r="C30" s="5">
        <f>EXP(G30)</f>
        <v>0.010365586878629889</v>
      </c>
      <c r="D30" s="3" t="inlineStr">
        <is>
          <t>Projected</t>
        </is>
      </c>
      <c r="G30" s="5">
        <f t="array" ref="G30">MMULT(AO172:AY172,$I$15:$I$25)</f>
        <v>-4.5692639135077435</v>
      </c>
    </row>
    <row r="31">
      <c r="A31" s="4" t="n">
        <v>2018</v>
      </c>
      <c r="C31" s="5">
        <f>EXP(G31)</f>
        <v>0.010001134843021814</v>
      </c>
      <c r="D31" s="3" t="inlineStr">
        <is>
          <t>Projected</t>
        </is>
      </c>
      <c r="G31" s="5">
        <f t="array" ref="G31">MMULT(AO173:AY173,$I$15:$I$25)</f>
        <v>-4.6050567081247662</v>
      </c>
    </row>
    <row r="32">
      <c r="A32" s="4" t="n">
        <v>2019</v>
      </c>
      <c r="C32" s="5">
        <f>EXP(G32)</f>
        <v>0.0096494968706997159</v>
      </c>
      <c r="D32" s="3" t="inlineStr">
        <is>
          <t>Projected</t>
        </is>
      </c>
      <c r="G32" s="5">
        <f t="array" ref="G32">MMULT(AO174:AY174,$I$15:$I$25)</f>
        <v>-4.6408495027417871</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c r="A68" s="1" t="inlineStr">
        <is>
          <t>Training design matrix B and response y=LN(m) (training years only)</t>
        </is>
      </c>
    </row>
    <row r="69"/>
    <row r="70" ht="34" customHeight="1">
      <c r="A70" s="6" t="inlineStr">
        <is>
          <t>Training year</t>
        </is>
      </c>
      <c r="B70" s="6" t="inlineStr">
        <is>
          <t>y = LN(m)</t>
        </is>
      </c>
      <c r="C70" s="6" t="inlineStr">
        <is>
          <t>B1986,4</t>
        </is>
      </c>
      <c r="D70" s="6" t="inlineStr">
        <is>
          <t>B1989,4</t>
        </is>
      </c>
      <c r="E70" s="6" t="inlineStr">
        <is>
          <t>B1992,4</t>
        </is>
      </c>
      <c r="F70" s="6" t="inlineStr">
        <is>
          <t>B1995,4</t>
        </is>
      </c>
      <c r="G70" s="6" t="inlineStr">
        <is>
          <t>B1998,4</t>
        </is>
      </c>
      <c r="H70" s="6" t="inlineStr">
        <is>
          <t>B2001,4</t>
        </is>
      </c>
    </row>
    <row r="71">
      <c r="A71" s="3" t="n">
        <v>1995</v>
      </c>
      <c r="B71" s="5">
        <f>LN('Q2_ReadMe'!B8)</f>
        <v>-3.7507548578320238</v>
      </c>
      <c r="C71" s="5">
        <f>AO150</f>
        <v>0.16666666666666666</v>
      </c>
      <c r="D71" s="5">
        <f>AP150</f>
        <v>0.66666666666666663</v>
      </c>
      <c r="E71" s="5">
        <f>AQ150</f>
        <v>0.16666666666666666</v>
      </c>
      <c r="F71" s="5">
        <f>AR150</f>
        <v>0</v>
      </c>
      <c r="G71" s="5">
        <f>AS150</f>
        <v>0</v>
      </c>
      <c r="H71" s="5">
        <f>AT150</f>
        <v>0</v>
      </c>
    </row>
    <row r="72">
      <c r="A72" s="3" t="n">
        <v>1998</v>
      </c>
      <c r="B72" s="5">
        <f>LN('Q2_ReadMe'!B9)</f>
        <v>-3.8776215787108135</v>
      </c>
      <c r="C72" s="5">
        <f>AO153</f>
        <v>0</v>
      </c>
      <c r="D72" s="5">
        <f>AP153</f>
        <v>0.16666666666666666</v>
      </c>
      <c r="E72" s="5">
        <f>AQ153</f>
        <v>0.66666666666666663</v>
      </c>
      <c r="F72" s="5">
        <f>AR153</f>
        <v>0.16666666666666666</v>
      </c>
      <c r="G72" s="5">
        <f>AS153</f>
        <v>0</v>
      </c>
      <c r="H72" s="5">
        <f>AT153</f>
        <v>0</v>
      </c>
    </row>
    <row r="73">
      <c r="A73" s="3" t="n">
        <v>2001</v>
      </c>
      <c r="B73" s="5">
        <f>LN('Q2_ReadMe'!B10)</f>
        <v>-4.0008542191347614</v>
      </c>
      <c r="C73" s="5">
        <f>AO156</f>
        <v>0</v>
      </c>
      <c r="D73" s="5">
        <f>AP156</f>
        <v>0</v>
      </c>
      <c r="E73" s="5">
        <f>AQ156</f>
        <v>0.16666666666666666</v>
      </c>
      <c r="F73" s="5">
        <f>AR156</f>
        <v>0.66666666666666663</v>
      </c>
      <c r="G73" s="5">
        <f>AS156</f>
        <v>0.16666666666666666</v>
      </c>
      <c r="H73" s="5">
        <f>AT156</f>
        <v>0</v>
      </c>
    </row>
    <row r="74">
      <c r="A74" s="3" t="n">
        <v>2004</v>
      </c>
      <c r="B74" s="5">
        <f>LN('Q2_ReadMe'!B11)</f>
        <v>-4.0983525836196391</v>
      </c>
      <c r="C74" s="5">
        <f>AO159</f>
        <v>0</v>
      </c>
      <c r="D74" s="5">
        <f>AP159</f>
        <v>0</v>
      </c>
      <c r="E74" s="5">
        <f>AQ159</f>
        <v>0</v>
      </c>
      <c r="F74" s="5">
        <f>AR159</f>
        <v>0.16666666666666666</v>
      </c>
      <c r="G74" s="5">
        <f>AS159</f>
        <v>0.66666666666666663</v>
      </c>
      <c r="H74" s="5">
        <f>AT159</f>
        <v>0.16666666666666666</v>
      </c>
    </row>
    <row r="75"/>
    <row r="76"/>
    <row r="77"/>
    <row r="78"/>
    <row r="79"/>
    <row r="80"/>
    <row r="81"/>
    <row r="82"/>
    <row r="83"/>
    <row r="84"/>
    <row r="85"/>
    <row r="86"/>
    <row r="87"/>
    <row r="88">
      <c r="A88" s="1" t="inlineStr">
        <is>
          <t>Penalised normal matrix G = BᵀB + (lambda/2)D₂ᵀD₂, and RHS = Bᵀy</t>
        </is>
      </c>
    </row>
    <row r="89"/>
    <row r="90" ht="34" customHeight="1">
      <c r="C90" s="6" t="n">
        <v>1986</v>
      </c>
      <c r="D90" s="6" t="n">
        <v>1989</v>
      </c>
      <c r="E90" s="6" t="n">
        <v>1992</v>
      </c>
      <c r="F90" s="6" t="n">
        <v>1995</v>
      </c>
      <c r="G90" s="6" t="n">
        <v>1998</v>
      </c>
      <c r="H90" s="6" t="n">
        <v>2001</v>
      </c>
      <c r="J90" s="6" t="inlineStr">
        <is>
          <t>Bᵀy</t>
        </is>
      </c>
    </row>
    <row r="91">
      <c r="A91" s="3" t="n">
        <v>1986</v>
      </c>
      <c r="C91" s="5">
        <f>SUMPRODUCT(C$71:C$74,C$71:C$74)+$B$4/2*SUMPRODUCT(C$111:C$114,C$111:C$114)</f>
        <v>0.52777777777777779</v>
      </c>
      <c r="D91" s="5">
        <f>SUMPRODUCT(C$71:C$74,D$71:D$74)+$B$4/2*SUMPRODUCT(C$111:C$114,D$111:D$114)</f>
        <v>-0.88888888888888884</v>
      </c>
      <c r="E91" s="5">
        <f>SUMPRODUCT(C$71:C$74,E$71:E$74)+$B$4/2*SUMPRODUCT(C$111:C$114,E$111:E$114)</f>
        <v>0.52777777777777779</v>
      </c>
      <c r="F91" s="5">
        <f>SUMPRODUCT(C$71:C$74,F$71:F$74)+$B$4/2*SUMPRODUCT(C$111:C$114,F$111:F$114)</f>
        <v>0</v>
      </c>
      <c r="G91" s="5">
        <f>SUMPRODUCT(C$71:C$74,G$71:G$74)+$B$4/2*SUMPRODUCT(C$111:C$114,G$111:G$114)</f>
        <v>0</v>
      </c>
      <c r="H91" s="5">
        <f>SUMPRODUCT(C$71:C$74,H$71:H$74)+$B$4/2*SUMPRODUCT(C$111:C$114,H$111:H$114)</f>
        <v>0</v>
      </c>
      <c r="J91" s="5">
        <f>SUMPRODUCT(C$71:C$74,$B$71:$B$74)</f>
        <v>-0.62512580963867059</v>
      </c>
    </row>
    <row r="92">
      <c r="A92" s="3" t="n">
        <v>1989</v>
      </c>
      <c r="C92" s="5">
        <f>SUMPRODUCT(D$71:D$74,C$71:C$74)+$B$4/2*SUMPRODUCT(D$111:D$114,C$111:C$114)</f>
        <v>-0.88888888888888884</v>
      </c>
      <c r="D92" s="5">
        <f>SUMPRODUCT(D$71:D$74,D$71:D$74)+$B$4/2*SUMPRODUCT(D$111:D$114,D$111:D$114)</f>
        <v>2.9722222222222223</v>
      </c>
      <c r="E92" s="5">
        <f>SUMPRODUCT(D$71:D$74,E$71:E$74)+$B$4/2*SUMPRODUCT(D$111:D$114,E$111:E$114)</f>
        <v>-1.7777777777777777</v>
      </c>
      <c r="F92" s="5">
        <f>SUMPRODUCT(D$71:D$74,F$71:F$74)+$B$4/2*SUMPRODUCT(D$111:D$114,F$111:F$114)</f>
        <v>0.52777777777777779</v>
      </c>
      <c r="G92" s="5">
        <f>SUMPRODUCT(D$71:D$74,G$71:G$74)+$B$4/2*SUMPRODUCT(D$111:D$114,G$111:G$114)</f>
        <v>0</v>
      </c>
      <c r="H92" s="5">
        <f>SUMPRODUCT(D$71:D$74,H$71:H$74)+$B$4/2*SUMPRODUCT(D$111:D$114,H$111:H$114)</f>
        <v>0</v>
      </c>
      <c r="J92" s="5">
        <f>SUMPRODUCT(D$71:D$74,$B$71:$B$74)</f>
        <v>-3.1467735016731515</v>
      </c>
    </row>
    <row r="93">
      <c r="A93" s="3" t="n">
        <v>1992</v>
      </c>
      <c r="C93" s="5">
        <f>SUMPRODUCT(E$71:E$74,C$71:C$74)+$B$4/2*SUMPRODUCT(E$111:E$114,C$111:C$114)</f>
        <v>0.52777777777777779</v>
      </c>
      <c r="D93" s="5">
        <f>SUMPRODUCT(E$71:E$74,D$71:D$74)+$B$4/2*SUMPRODUCT(E$111:E$114,D$111:D$114)</f>
        <v>-1.7777777777777777</v>
      </c>
      <c r="E93" s="5">
        <f>SUMPRODUCT(E$71:E$74,E$71:E$74)+$B$4/2*SUMPRODUCT(E$111:E$114,E$111:E$114)</f>
        <v>3.5</v>
      </c>
      <c r="F93" s="5">
        <f>SUMPRODUCT(E$71:E$74,F$71:F$74)+$B$4/2*SUMPRODUCT(E$111:E$114,F$111:F$114)</f>
        <v>-1.7777777777777777</v>
      </c>
      <c r="G93" s="5">
        <f>SUMPRODUCT(E$71:E$74,G$71:G$74)+$B$4/2*SUMPRODUCT(E$111:E$114,G$111:G$114)</f>
        <v>0.52777777777777779</v>
      </c>
      <c r="H93" s="5">
        <f>SUMPRODUCT(E$71:E$74,H$71:H$74)+$B$4/2*SUMPRODUCT(E$111:E$114,H$111:H$114)</f>
        <v>0</v>
      </c>
      <c r="J93" s="5">
        <f>SUMPRODUCT(E$71:E$74,$B$71:$B$74)</f>
        <v>-3.8770158986350065</v>
      </c>
    </row>
    <row r="94">
      <c r="A94" s="3" t="n">
        <v>1995</v>
      </c>
      <c r="C94" s="5">
        <f>SUMPRODUCT(F$71:F$74,C$71:C$74)+$B$4/2*SUMPRODUCT(F$111:F$114,C$111:C$114)</f>
        <v>0</v>
      </c>
      <c r="D94" s="5">
        <f>SUMPRODUCT(F$71:F$74,D$71:D$74)+$B$4/2*SUMPRODUCT(F$111:F$114,D$111:D$114)</f>
        <v>0.52777777777777779</v>
      </c>
      <c r="E94" s="5">
        <f>SUMPRODUCT(F$71:F$74,E$71:E$74)+$B$4/2*SUMPRODUCT(F$111:F$114,E$111:E$114)</f>
        <v>-1.7777777777777777</v>
      </c>
      <c r="F94" s="5">
        <f>SUMPRODUCT(F$71:F$74,F$71:F$74)+$B$4/2*SUMPRODUCT(F$111:F$114,F$111:F$114)</f>
        <v>3.5</v>
      </c>
      <c r="G94" s="5">
        <f>SUMPRODUCT(F$71:F$74,G$71:G$74)+$B$4/2*SUMPRODUCT(F$111:F$114,G$111:G$114)</f>
        <v>-1.7777777777777777</v>
      </c>
      <c r="H94" s="5">
        <f>SUMPRODUCT(F$71:F$74,H$71:H$74)+$B$4/2*SUMPRODUCT(F$111:F$114,H$111:H$114)</f>
        <v>0.52777777777777779</v>
      </c>
      <c r="J94" s="5">
        <f>SUMPRODUCT(F$71:F$74,$B$71:$B$74)</f>
        <v>-3.9965651731449161</v>
      </c>
    </row>
    <row r="95">
      <c r="A95" s="3" t="n">
        <v>1998</v>
      </c>
      <c r="C95" s="5">
        <f>SUMPRODUCT(G$71:G$74,C$71:C$74)+$B$4/2*SUMPRODUCT(G$111:G$114,C$111:C$114)</f>
        <v>0</v>
      </c>
      <c r="D95" s="5">
        <f>SUMPRODUCT(G$71:G$74,D$71:D$74)+$B$4/2*SUMPRODUCT(G$111:G$114,D$111:D$114)</f>
        <v>0</v>
      </c>
      <c r="E95" s="5">
        <f>SUMPRODUCT(G$71:G$74,E$71:E$74)+$B$4/2*SUMPRODUCT(G$111:G$114,E$111:E$114)</f>
        <v>0.52777777777777779</v>
      </c>
      <c r="F95" s="5">
        <f>SUMPRODUCT(G$71:G$74,F$71:F$74)+$B$4/2*SUMPRODUCT(G$111:G$114,F$111:F$114)</f>
        <v>-1.7777777777777777</v>
      </c>
      <c r="G95" s="5">
        <f>SUMPRODUCT(G$71:G$74,G$71:G$74)+$B$4/2*SUMPRODUCT(G$111:G$114,G$111:G$114)</f>
        <v>2.9722222222222223</v>
      </c>
      <c r="H95" s="5">
        <f>SUMPRODUCT(G$71:G$74,H$71:H$74)+$B$4/2*SUMPRODUCT(G$111:G$114,H$111:H$114)</f>
        <v>-0.88888888888888884</v>
      </c>
      <c r="J95" s="5">
        <f>SUMPRODUCT(G$71:G$74,$B$71:$B$74)</f>
        <v>-3.3990440922688858</v>
      </c>
    </row>
    <row r="96">
      <c r="A96" s="3" t="n">
        <v>2001</v>
      </c>
      <c r="C96" s="5">
        <f>SUMPRODUCT(H$71:H$74,C$71:C$74)+$B$4/2*SUMPRODUCT(H$111:H$114,C$111:C$114)</f>
        <v>0</v>
      </c>
      <c r="D96" s="5">
        <f>SUMPRODUCT(H$71:H$74,D$71:D$74)+$B$4/2*SUMPRODUCT(H$111:H$114,D$111:D$114)</f>
        <v>0</v>
      </c>
      <c r="E96" s="5">
        <f>SUMPRODUCT(H$71:H$74,E$71:E$74)+$B$4/2*SUMPRODUCT(H$111:H$114,E$111:E$114)</f>
        <v>0</v>
      </c>
      <c r="F96" s="5">
        <f>SUMPRODUCT(H$71:H$74,F$71:F$74)+$B$4/2*SUMPRODUCT(H$111:H$114,F$111:F$114)</f>
        <v>0.52777777777777779</v>
      </c>
      <c r="G96" s="5">
        <f>SUMPRODUCT(H$71:H$74,G$71:G$74)+$B$4/2*SUMPRODUCT(H$111:H$114,G$111:G$114)</f>
        <v>-0.88888888888888884</v>
      </c>
      <c r="H96" s="5">
        <f>SUMPRODUCT(H$71:H$74,H$71:H$74)+$B$4/2*SUMPRODUCT(H$111:H$114,H$111:H$114)</f>
        <v>0.52777777777777779</v>
      </c>
      <c r="J96" s="5">
        <f>SUMPRODUCT(H$71:H$74,$B$71:$B$74)</f>
        <v>-0.68305876393660647</v>
      </c>
    </row>
    <row r="97"/>
    <row r="98"/>
    <row r="99"/>
    <row r="100"/>
    <row r="101"/>
    <row r="102"/>
    <row r="103"/>
    <row r="104"/>
    <row r="105"/>
    <row r="106"/>
    <row r="107"/>
    <row r="108">
      <c r="A108" s="1" t="inlineStr">
        <is>
          <t>Second-difference matrix D₂: rows [1, −2, 1]</t>
        </is>
      </c>
    </row>
    <row r="109"/>
    <row r="110"/>
    <row r="111">
      <c r="C111" s="3" t="n">
        <v>1</v>
      </c>
      <c r="D111" s="3" t="n">
        <v>-2</v>
      </c>
      <c r="E111" s="3" t="n">
        <v>1</v>
      </c>
      <c r="F111" s="3" t="n">
        <v>0</v>
      </c>
      <c r="G111" s="3" t="n">
        <v>0</v>
      </c>
      <c r="H111" s="3" t="n">
        <v>0</v>
      </c>
    </row>
    <row r="112">
      <c r="C112" s="3" t="n">
        <v>0</v>
      </c>
      <c r="D112" s="3" t="n">
        <v>1</v>
      </c>
      <c r="E112" s="3" t="n">
        <v>-2</v>
      </c>
      <c r="F112" s="3" t="n">
        <v>1</v>
      </c>
      <c r="G112" s="3" t="n">
        <v>0</v>
      </c>
      <c r="H112" s="3" t="n">
        <v>0</v>
      </c>
    </row>
    <row r="113">
      <c r="C113" s="3" t="n">
        <v>0</v>
      </c>
      <c r="D113" s="3" t="n">
        <v>0</v>
      </c>
      <c r="E113" s="3" t="n">
        <v>1</v>
      </c>
      <c r="F113" s="3" t="n">
        <v>-2</v>
      </c>
      <c r="G113" s="3" t="n">
        <v>1</v>
      </c>
      <c r="H113" s="3" t="n">
        <v>0</v>
      </c>
    </row>
    <row r="114">
      <c r="C114" s="3" t="n">
        <v>0</v>
      </c>
      <c r="D114" s="3" t="n">
        <v>0</v>
      </c>
      <c r="E114" s="3" t="n">
        <v>0</v>
      </c>
      <c r="F114" s="3" t="n">
        <v>1</v>
      </c>
      <c r="G114" s="3" t="n">
        <v>-2</v>
      </c>
      <c r="H114" s="3" t="n">
        <v>1</v>
      </c>
    </row>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ht="34" customHeight="1">
      <c r="A149" s="6" t="inlineStr">
        <is>
          <t>Evaluation year</t>
        </is>
      </c>
      <c r="B149" s="6" t="inlineStr">
        <is>
          <t>B1986,k=1</t>
        </is>
      </c>
      <c r="C149" s="6" t="inlineStr">
        <is>
          <t>B1989,k=1</t>
        </is>
      </c>
      <c r="D149" s="6" t="inlineStr">
        <is>
          <t>B1992,k=1</t>
        </is>
      </c>
      <c r="E149" s="6" t="inlineStr">
        <is>
          <t>B1995,k=1</t>
        </is>
      </c>
      <c r="F149" s="6" t="inlineStr">
        <is>
          <t>B1998,k=1</t>
        </is>
      </c>
      <c r="G149" s="6" t="inlineStr">
        <is>
          <t>B2001,k=1</t>
        </is>
      </c>
      <c r="H149" s="6" t="inlineStr">
        <is>
          <t>B2004,k=1</t>
        </is>
      </c>
      <c r="I149" s="6" t="inlineStr">
        <is>
          <t>B2007,k=1</t>
        </is>
      </c>
      <c r="J149" s="6" t="inlineStr">
        <is>
          <t>B2010,k=1</t>
        </is>
      </c>
      <c r="K149" s="6" t="inlineStr">
        <is>
          <t>B2013,k=1</t>
        </is>
      </c>
      <c r="L149" s="6" t="inlineStr">
        <is>
          <t>B2016,k=1</t>
        </is>
      </c>
      <c r="M149" s="6" t="inlineStr">
        <is>
          <t>B2019,k=1</t>
        </is>
      </c>
      <c r="N149" s="6" t="inlineStr">
        <is>
          <t>B2022,k=1</t>
        </is>
      </c>
      <c r="O149" s="6" t="inlineStr">
        <is>
          <t>B2025,k=1</t>
        </is>
      </c>
      <c r="P149" s="6" t="inlineStr">
        <is>
          <t>B1986,k=2</t>
        </is>
      </c>
      <c r="Q149" s="6" t="inlineStr">
        <is>
          <t>B1989,k=2</t>
        </is>
      </c>
      <c r="R149" s="6" t="inlineStr">
        <is>
          <t>B1992,k=2</t>
        </is>
      </c>
      <c r="S149" s="6" t="inlineStr">
        <is>
          <t>B1995,k=2</t>
        </is>
      </c>
      <c r="T149" s="6" t="inlineStr">
        <is>
          <t>B1998,k=2</t>
        </is>
      </c>
      <c r="U149" s="6" t="inlineStr">
        <is>
          <t>B2001,k=2</t>
        </is>
      </c>
      <c r="V149" s="6" t="inlineStr">
        <is>
          <t>B2004,k=2</t>
        </is>
      </c>
      <c r="W149" s="6" t="inlineStr">
        <is>
          <t>B2007,k=2</t>
        </is>
      </c>
      <c r="X149" s="6" t="inlineStr">
        <is>
          <t>B2010,k=2</t>
        </is>
      </c>
      <c r="Y149" s="6" t="inlineStr">
        <is>
          <t>B2013,k=2</t>
        </is>
      </c>
      <c r="Z149" s="6" t="inlineStr">
        <is>
          <t>B2016,k=2</t>
        </is>
      </c>
      <c r="AA149" s="6" t="inlineStr">
        <is>
          <t>B2019,k=2</t>
        </is>
      </c>
      <c r="AB149" s="6" t="inlineStr">
        <is>
          <t>B2022,k=2</t>
        </is>
      </c>
      <c r="AC149" s="6" t="inlineStr">
        <is>
          <t>B1986,k=3</t>
        </is>
      </c>
      <c r="AD149" s="6" t="inlineStr">
        <is>
          <t>B1989,k=3</t>
        </is>
      </c>
      <c r="AE149" s="6" t="inlineStr">
        <is>
          <t>B1992,k=3</t>
        </is>
      </c>
      <c r="AF149" s="6" t="inlineStr">
        <is>
          <t>B1995,k=3</t>
        </is>
      </c>
      <c r="AG149" s="6" t="inlineStr">
        <is>
          <t>B1998,k=3</t>
        </is>
      </c>
      <c r="AH149" s="6" t="inlineStr">
        <is>
          <t>B2001,k=3</t>
        </is>
      </c>
      <c r="AI149" s="6" t="inlineStr">
        <is>
          <t>B2004,k=3</t>
        </is>
      </c>
      <c r="AJ149" s="6" t="inlineStr">
        <is>
          <t>B2007,k=3</t>
        </is>
      </c>
      <c r="AK149" s="6" t="inlineStr">
        <is>
          <t>B2010,k=3</t>
        </is>
      </c>
      <c r="AL149" s="6" t="inlineStr">
        <is>
          <t>B2013,k=3</t>
        </is>
      </c>
      <c r="AM149" s="6" t="inlineStr">
        <is>
          <t>B2016,k=3</t>
        </is>
      </c>
      <c r="AN149" s="6" t="inlineStr">
        <is>
          <t>B2019,k=3</t>
        </is>
      </c>
      <c r="AO149" s="6" t="inlineStr">
        <is>
          <t>B1986,k=4</t>
        </is>
      </c>
      <c r="AP149" s="6" t="inlineStr">
        <is>
          <t>B1989,k=4</t>
        </is>
      </c>
      <c r="AQ149" s="6" t="inlineStr">
        <is>
          <t>B1992,k=4</t>
        </is>
      </c>
      <c r="AR149" s="6" t="inlineStr">
        <is>
          <t>B1995,k=4</t>
        </is>
      </c>
      <c r="AS149" s="6" t="inlineStr">
        <is>
          <t>B1998,k=4</t>
        </is>
      </c>
      <c r="AT149" s="6" t="inlineStr">
        <is>
          <t>B2001,k=4</t>
        </is>
      </c>
      <c r="AU149" s="6" t="inlineStr">
        <is>
          <t>B2004,k=4</t>
        </is>
      </c>
      <c r="AV149" s="6" t="inlineStr">
        <is>
          <t>B2007,k=4</t>
        </is>
      </c>
      <c r="AW149" s="6" t="inlineStr">
        <is>
          <t>B2010,k=4</t>
        </is>
      </c>
      <c r="AX149" s="6" t="inlineStr">
        <is>
          <t>B2013,k=4</t>
        </is>
      </c>
      <c r="AY149" s="6" t="inlineStr">
        <is>
          <t>B2016,k=4</t>
        </is>
      </c>
    </row>
    <row r="150">
      <c r="A150" s="3" t="n">
        <v>1995</v>
      </c>
      <c r="B150" s="5">
        <f>IF(AND($A150&gt;=1986,$A150&lt;1989),1,0)</f>
        <v>0</v>
      </c>
      <c r="C150" s="5">
        <f>IF(AND($A150&gt;=1989,$A150&lt;1992),1,0)</f>
        <v>0</v>
      </c>
      <c r="D150" s="5">
        <f>IF(AND($A150&gt;=1992,$A150&lt;1995),1,0)</f>
        <v>0</v>
      </c>
      <c r="E150" s="5">
        <f>IF(AND($A150&gt;=1995,$A150&lt;1998),1,0)</f>
        <v>1</v>
      </c>
      <c r="F150" s="5">
        <f>IF(AND($A150&gt;=1998,$A150&lt;2001),1,0)</f>
        <v>0</v>
      </c>
      <c r="G150" s="5">
        <f>IF(AND($A150&gt;=2001,$A150&lt;2004),1,0)</f>
        <v>0</v>
      </c>
      <c r="H150" s="5">
        <f>IF(AND($A150&gt;=2004,$A150&lt;2007),1,0)</f>
        <v>0</v>
      </c>
      <c r="I150" s="5">
        <f>IF(AND($A150&gt;=2007,$A150&lt;2010),1,0)</f>
        <v>0</v>
      </c>
      <c r="J150" s="5">
        <f>IF(AND($A150&gt;=2010,$A150&lt;2013),1,0)</f>
        <v>0</v>
      </c>
      <c r="K150" s="5">
        <f>IF(AND($A150&gt;=2013,$A150&lt;2016),1,0)</f>
        <v>0</v>
      </c>
      <c r="L150" s="5">
        <f>IF(AND($A150&gt;=2016,$A150&lt;2019),1,0)</f>
        <v>0</v>
      </c>
      <c r="M150" s="5">
        <f>IF(AND($A150&gt;=2019,$A150&lt;2022),1,0)</f>
        <v>0</v>
      </c>
      <c r="N150" s="5">
        <f>IF(AND($A150&gt;=2022,$A150&lt;2025),1,0)</f>
        <v>0</v>
      </c>
      <c r="O150" s="5">
        <f>IF(AND($A150&gt;=2025,$A150&lt;2028),1,0)</f>
        <v>0</v>
      </c>
      <c r="P150" s="5">
        <f>($A150-1986)/((2-1)*$D$4)*B150+(1986+2*$D$4-$A150)/((2-1)*$D$4)*C150</f>
        <v>0</v>
      </c>
      <c r="Q150" s="5">
        <f>($A150-1989)/((2-1)*$D$4)*C150+(1989+2*$D$4-$A150)/((2-1)*$D$4)*D150</f>
        <v>0</v>
      </c>
      <c r="R150" s="5">
        <f>($A150-1992)/((2-1)*$D$4)*D150+(1992+2*$D$4-$A150)/((2-1)*$D$4)*E150</f>
        <v>1</v>
      </c>
      <c r="S150" s="5">
        <f>($A150-1995)/((2-1)*$D$4)*E150+(1995+2*$D$4-$A150)/((2-1)*$D$4)*F150</f>
        <v>0</v>
      </c>
      <c r="T150" s="5">
        <f>($A150-1998)/((2-1)*$D$4)*F150+(1998+2*$D$4-$A150)/((2-1)*$D$4)*G150</f>
        <v>0</v>
      </c>
      <c r="U150" s="5">
        <f>($A150-2001)/((2-1)*$D$4)*G150+(2001+2*$D$4-$A150)/((2-1)*$D$4)*H150</f>
        <v>0</v>
      </c>
      <c r="V150" s="5">
        <f>($A150-2004)/((2-1)*$D$4)*H150+(2004+2*$D$4-$A150)/((2-1)*$D$4)*I150</f>
        <v>0</v>
      </c>
      <c r="W150" s="5">
        <f>($A150-2007)/((2-1)*$D$4)*I150+(2007+2*$D$4-$A150)/((2-1)*$D$4)*J150</f>
        <v>0</v>
      </c>
      <c r="X150" s="5">
        <f>($A150-2010)/((2-1)*$D$4)*J150+(2010+2*$D$4-$A150)/((2-1)*$D$4)*K150</f>
        <v>0</v>
      </c>
      <c r="Y150" s="5">
        <f>($A150-2013)/((2-1)*$D$4)*K150+(2013+2*$D$4-$A150)/((2-1)*$D$4)*L150</f>
        <v>0</v>
      </c>
      <c r="Z150" s="5">
        <f>($A150-2016)/((2-1)*$D$4)*L150+(2016+2*$D$4-$A150)/((2-1)*$D$4)*M150</f>
        <v>0</v>
      </c>
      <c r="AA150" s="5">
        <f>($A150-2019)/((2-1)*$D$4)*M150+(2019+2*$D$4-$A150)/((2-1)*$D$4)*N150</f>
        <v>0</v>
      </c>
      <c r="AB150" s="5">
        <f>($A150-2022)/((2-1)*$D$4)*N150+(2022+2*$D$4-$A150)/((2-1)*$D$4)*O150</f>
        <v>0</v>
      </c>
      <c r="AC150" s="5">
        <f>($A150-1986)/((3-1)*$D$4)*P150+(1986+3*$D$4-$A150)/((3-1)*$D$4)*Q150</f>
        <v>0</v>
      </c>
      <c r="AD150" s="5">
        <f>($A150-1989)/((3-1)*$D$4)*Q150+(1989+3*$D$4-$A150)/((3-1)*$D$4)*R150</f>
        <v>0.5</v>
      </c>
      <c r="AE150" s="5">
        <f>($A150-1992)/((3-1)*$D$4)*R150+(1992+3*$D$4-$A150)/((3-1)*$D$4)*S150</f>
        <v>0.5</v>
      </c>
      <c r="AF150" s="5">
        <f>($A150-1995)/((3-1)*$D$4)*S150+(1995+3*$D$4-$A150)/((3-1)*$D$4)*T150</f>
        <v>0</v>
      </c>
      <c r="AG150" s="5">
        <f>($A150-1998)/((3-1)*$D$4)*T150+(1998+3*$D$4-$A150)/((3-1)*$D$4)*U150</f>
        <v>0</v>
      </c>
      <c r="AH150" s="5">
        <f>($A150-2001)/((3-1)*$D$4)*U150+(2001+3*$D$4-$A150)/((3-1)*$D$4)*V150</f>
        <v>0</v>
      </c>
      <c r="AI150" s="5">
        <f>($A150-2004)/((3-1)*$D$4)*V150+(2004+3*$D$4-$A150)/((3-1)*$D$4)*W150</f>
        <v>0</v>
      </c>
      <c r="AJ150" s="5">
        <f>($A150-2007)/((3-1)*$D$4)*W150+(2007+3*$D$4-$A150)/((3-1)*$D$4)*X150</f>
        <v>0</v>
      </c>
      <c r="AK150" s="5">
        <f>($A150-2010)/((3-1)*$D$4)*X150+(2010+3*$D$4-$A150)/((3-1)*$D$4)*Y150</f>
        <v>0</v>
      </c>
      <c r="AL150" s="5">
        <f>($A150-2013)/((3-1)*$D$4)*Y150+(2013+3*$D$4-$A150)/((3-1)*$D$4)*Z150</f>
        <v>0</v>
      </c>
      <c r="AM150" s="5">
        <f>($A150-2016)/((3-1)*$D$4)*Z150+(2016+3*$D$4-$A150)/((3-1)*$D$4)*AA150</f>
        <v>0</v>
      </c>
      <c r="AN150" s="5">
        <f>($A150-2019)/((3-1)*$D$4)*AA150+(2019+3*$D$4-$A150)/((3-1)*$D$4)*AB150</f>
        <v>0</v>
      </c>
      <c r="AO150" s="5">
        <f>($A150-1986)/((4-1)*$D$4)*AC150+(1986+4*$D$4-$A150)/((4-1)*$D$4)*AD150</f>
        <v>0.16666666666666666</v>
      </c>
      <c r="AP150" s="5">
        <f>($A150-1989)/((4-1)*$D$4)*AD150+(1989+4*$D$4-$A150)/((4-1)*$D$4)*AE150</f>
        <v>0.66666666666666663</v>
      </c>
      <c r="AQ150" s="5">
        <f>($A150-1992)/((4-1)*$D$4)*AE150+(1992+4*$D$4-$A150)/((4-1)*$D$4)*AF150</f>
        <v>0.16666666666666666</v>
      </c>
      <c r="AR150" s="5">
        <f>($A150-1995)/((4-1)*$D$4)*AF150+(1995+4*$D$4-$A150)/((4-1)*$D$4)*AG150</f>
        <v>0</v>
      </c>
      <c r="AS150" s="5">
        <f>($A150-1998)/((4-1)*$D$4)*AG150+(1998+4*$D$4-$A150)/((4-1)*$D$4)*AH150</f>
        <v>0</v>
      </c>
      <c r="AT150" s="5">
        <f>($A150-2001)/((4-1)*$D$4)*AH150+(2001+4*$D$4-$A150)/((4-1)*$D$4)*AI150</f>
        <v>0</v>
      </c>
      <c r="AU150" s="5">
        <f>($A150-2004)/((4-1)*$D$4)*AI150+(2004+4*$D$4-$A150)/((4-1)*$D$4)*AJ150</f>
        <v>0</v>
      </c>
      <c r="AV150" s="5">
        <f>($A150-2007)/((4-1)*$D$4)*AJ150+(2007+4*$D$4-$A150)/((4-1)*$D$4)*AK150</f>
        <v>0</v>
      </c>
      <c r="AW150" s="5">
        <f>($A150-2010)/((4-1)*$D$4)*AK150+(2010+4*$D$4-$A150)/((4-1)*$D$4)*AL150</f>
        <v>0</v>
      </c>
      <c r="AX150" s="5">
        <f>($A150-2013)/((4-1)*$D$4)*AL150+(2013+4*$D$4-$A150)/((4-1)*$D$4)*AM150</f>
        <v>0</v>
      </c>
      <c r="AY150" s="5">
        <f>($A150-2016)/((4-1)*$D$4)*AM150+(2016+4*$D$4-$A150)/((4-1)*$D$4)*AN150</f>
        <v>0</v>
      </c>
    </row>
    <row r="151">
      <c r="A151" s="3" t="n">
        <v>1996</v>
      </c>
      <c r="B151" s="5">
        <f>IF(AND($A151&gt;=1986,$A151&lt;1989),1,0)</f>
        <v>0</v>
      </c>
      <c r="C151" s="5">
        <f>IF(AND($A151&gt;=1989,$A151&lt;1992),1,0)</f>
        <v>0</v>
      </c>
      <c r="D151" s="5">
        <f>IF(AND($A151&gt;=1992,$A151&lt;1995),1,0)</f>
        <v>0</v>
      </c>
      <c r="E151" s="5">
        <f>IF(AND($A151&gt;=1995,$A151&lt;1998),1,0)</f>
        <v>1</v>
      </c>
      <c r="F151" s="5">
        <f>IF(AND($A151&gt;=1998,$A151&lt;2001),1,0)</f>
        <v>0</v>
      </c>
      <c r="G151" s="5">
        <f>IF(AND($A151&gt;=2001,$A151&lt;2004),1,0)</f>
        <v>0</v>
      </c>
      <c r="H151" s="5">
        <f>IF(AND($A151&gt;=2004,$A151&lt;2007),1,0)</f>
        <v>0</v>
      </c>
      <c r="I151" s="5">
        <f>IF(AND($A151&gt;=2007,$A151&lt;2010),1,0)</f>
        <v>0</v>
      </c>
      <c r="J151" s="5">
        <f>IF(AND($A151&gt;=2010,$A151&lt;2013),1,0)</f>
        <v>0</v>
      </c>
      <c r="K151" s="5">
        <f>IF(AND($A151&gt;=2013,$A151&lt;2016),1,0)</f>
        <v>0</v>
      </c>
      <c r="L151" s="5">
        <f>IF(AND($A151&gt;=2016,$A151&lt;2019),1,0)</f>
        <v>0</v>
      </c>
      <c r="M151" s="5">
        <f>IF(AND($A151&gt;=2019,$A151&lt;2022),1,0)</f>
        <v>0</v>
      </c>
      <c r="N151" s="5">
        <f>IF(AND($A151&gt;=2022,$A151&lt;2025),1,0)</f>
        <v>0</v>
      </c>
      <c r="O151" s="5">
        <f>IF(AND($A151&gt;=2025,$A151&lt;2028),1,0)</f>
        <v>0</v>
      </c>
      <c r="P151" s="5">
        <f>($A151-1986)/((2-1)*$D$4)*B151+(1986+2*$D$4-$A151)/((2-1)*$D$4)*C151</f>
        <v>0</v>
      </c>
      <c r="Q151" s="5">
        <f>($A151-1989)/((2-1)*$D$4)*C151+(1989+2*$D$4-$A151)/((2-1)*$D$4)*D151</f>
        <v>0</v>
      </c>
      <c r="R151" s="5">
        <f>($A151-1992)/((2-1)*$D$4)*D151+(1992+2*$D$4-$A151)/((2-1)*$D$4)*E151</f>
        <v>0.66666666666666663</v>
      </c>
      <c r="S151" s="5">
        <f>($A151-1995)/((2-1)*$D$4)*E151+(1995+2*$D$4-$A151)/((2-1)*$D$4)*F151</f>
        <v>0.33333333333333331</v>
      </c>
      <c r="T151" s="5">
        <f>($A151-1998)/((2-1)*$D$4)*F151+(1998+2*$D$4-$A151)/((2-1)*$D$4)*G151</f>
        <v>0</v>
      </c>
      <c r="U151" s="5">
        <f>($A151-2001)/((2-1)*$D$4)*G151+(2001+2*$D$4-$A151)/((2-1)*$D$4)*H151</f>
        <v>0</v>
      </c>
      <c r="V151" s="5">
        <f>($A151-2004)/((2-1)*$D$4)*H151+(2004+2*$D$4-$A151)/((2-1)*$D$4)*I151</f>
        <v>0</v>
      </c>
      <c r="W151" s="5">
        <f>($A151-2007)/((2-1)*$D$4)*I151+(2007+2*$D$4-$A151)/((2-1)*$D$4)*J151</f>
        <v>0</v>
      </c>
      <c r="X151" s="5">
        <f>($A151-2010)/((2-1)*$D$4)*J151+(2010+2*$D$4-$A151)/((2-1)*$D$4)*K151</f>
        <v>0</v>
      </c>
      <c r="Y151" s="5">
        <f>($A151-2013)/((2-1)*$D$4)*K151+(2013+2*$D$4-$A151)/((2-1)*$D$4)*L151</f>
        <v>0</v>
      </c>
      <c r="Z151" s="5">
        <f>($A151-2016)/((2-1)*$D$4)*L151+(2016+2*$D$4-$A151)/((2-1)*$D$4)*M151</f>
        <v>0</v>
      </c>
      <c r="AA151" s="5">
        <f>($A151-2019)/((2-1)*$D$4)*M151+(2019+2*$D$4-$A151)/((2-1)*$D$4)*N151</f>
        <v>0</v>
      </c>
      <c r="AB151" s="5">
        <f>($A151-2022)/((2-1)*$D$4)*N151+(2022+2*$D$4-$A151)/((2-1)*$D$4)*O151</f>
        <v>0</v>
      </c>
      <c r="AC151" s="5">
        <f>($A151-1986)/((3-1)*$D$4)*P151+(1986+3*$D$4-$A151)/((3-1)*$D$4)*Q151</f>
        <v>0</v>
      </c>
      <c r="AD151" s="5">
        <f>($A151-1989)/((3-1)*$D$4)*Q151+(1989+3*$D$4-$A151)/((3-1)*$D$4)*R151</f>
        <v>0.22222222222222221</v>
      </c>
      <c r="AE151" s="5">
        <f>($A151-1992)/((3-1)*$D$4)*R151+(1992+3*$D$4-$A151)/((3-1)*$D$4)*S151</f>
        <v>0.72222222222222221</v>
      </c>
      <c r="AF151" s="5">
        <f>($A151-1995)/((3-1)*$D$4)*S151+(1995+3*$D$4-$A151)/((3-1)*$D$4)*T151</f>
        <v>0.055555555555555552</v>
      </c>
      <c r="AG151" s="5">
        <f>($A151-1998)/((3-1)*$D$4)*T151+(1998+3*$D$4-$A151)/((3-1)*$D$4)*U151</f>
        <v>0</v>
      </c>
      <c r="AH151" s="5">
        <f>($A151-2001)/((3-1)*$D$4)*U151+(2001+3*$D$4-$A151)/((3-1)*$D$4)*V151</f>
        <v>0</v>
      </c>
      <c r="AI151" s="5">
        <f>($A151-2004)/((3-1)*$D$4)*V151+(2004+3*$D$4-$A151)/((3-1)*$D$4)*W151</f>
        <v>0</v>
      </c>
      <c r="AJ151" s="5">
        <f>($A151-2007)/((3-1)*$D$4)*W151+(2007+3*$D$4-$A151)/((3-1)*$D$4)*X151</f>
        <v>0</v>
      </c>
      <c r="AK151" s="5">
        <f>($A151-2010)/((3-1)*$D$4)*X151+(2010+3*$D$4-$A151)/((3-1)*$D$4)*Y151</f>
        <v>0</v>
      </c>
      <c r="AL151" s="5">
        <f>($A151-2013)/((3-1)*$D$4)*Y151+(2013+3*$D$4-$A151)/((3-1)*$D$4)*Z151</f>
        <v>0</v>
      </c>
      <c r="AM151" s="5">
        <f>($A151-2016)/((3-1)*$D$4)*Z151+(2016+3*$D$4-$A151)/((3-1)*$D$4)*AA151</f>
        <v>0</v>
      </c>
      <c r="AN151" s="5">
        <f>($A151-2019)/((3-1)*$D$4)*AA151+(2019+3*$D$4-$A151)/((3-1)*$D$4)*AB151</f>
        <v>0</v>
      </c>
      <c r="AO151" s="5">
        <f>($A151-1986)/((4-1)*$D$4)*AC151+(1986+4*$D$4-$A151)/((4-1)*$D$4)*AD151</f>
        <v>0.049382716049382713</v>
      </c>
      <c r="AP151" s="5">
        <f>($A151-1989)/((4-1)*$D$4)*AD151+(1989+4*$D$4-$A151)/((4-1)*$D$4)*AE151</f>
        <v>0.57407407407407407</v>
      </c>
      <c r="AQ151" s="5">
        <f>($A151-1992)/((4-1)*$D$4)*AE151+(1992+4*$D$4-$A151)/((4-1)*$D$4)*AF151</f>
        <v>0.37037037037037035</v>
      </c>
      <c r="AR151" s="5">
        <f>($A151-1995)/((4-1)*$D$4)*AF151+(1995+4*$D$4-$A151)/((4-1)*$D$4)*AG151</f>
        <v>0.0061728395061728392</v>
      </c>
      <c r="AS151" s="5">
        <f>($A151-1998)/((4-1)*$D$4)*AG151+(1998+4*$D$4-$A151)/((4-1)*$D$4)*AH151</f>
        <v>0</v>
      </c>
      <c r="AT151" s="5">
        <f>($A151-2001)/((4-1)*$D$4)*AH151+(2001+4*$D$4-$A151)/((4-1)*$D$4)*AI151</f>
        <v>0</v>
      </c>
      <c r="AU151" s="5">
        <f>($A151-2004)/((4-1)*$D$4)*AI151+(2004+4*$D$4-$A151)/((4-1)*$D$4)*AJ151</f>
        <v>0</v>
      </c>
      <c r="AV151" s="5">
        <f>($A151-2007)/((4-1)*$D$4)*AJ151+(2007+4*$D$4-$A151)/((4-1)*$D$4)*AK151</f>
        <v>0</v>
      </c>
      <c r="AW151" s="5">
        <f>($A151-2010)/((4-1)*$D$4)*AK151+(2010+4*$D$4-$A151)/((4-1)*$D$4)*AL151</f>
        <v>0</v>
      </c>
      <c r="AX151" s="5">
        <f>($A151-2013)/((4-1)*$D$4)*AL151+(2013+4*$D$4-$A151)/((4-1)*$D$4)*AM151</f>
        <v>0</v>
      </c>
      <c r="AY151" s="5">
        <f>($A151-2016)/((4-1)*$D$4)*AM151+(2016+4*$D$4-$A151)/((4-1)*$D$4)*AN151</f>
        <v>0</v>
      </c>
    </row>
    <row r="152">
      <c r="A152" s="3" t="n">
        <v>1997</v>
      </c>
      <c r="B152" s="5">
        <f>IF(AND($A152&gt;=1986,$A152&lt;1989),1,0)</f>
        <v>0</v>
      </c>
      <c r="C152" s="5">
        <f>IF(AND($A152&gt;=1989,$A152&lt;1992),1,0)</f>
        <v>0</v>
      </c>
      <c r="D152" s="5">
        <f>IF(AND($A152&gt;=1992,$A152&lt;1995),1,0)</f>
        <v>0</v>
      </c>
      <c r="E152" s="5">
        <f>IF(AND($A152&gt;=1995,$A152&lt;1998),1,0)</f>
        <v>1</v>
      </c>
      <c r="F152" s="5">
        <f>IF(AND($A152&gt;=1998,$A152&lt;2001),1,0)</f>
        <v>0</v>
      </c>
      <c r="G152" s="5">
        <f>IF(AND($A152&gt;=2001,$A152&lt;2004),1,0)</f>
        <v>0</v>
      </c>
      <c r="H152" s="5">
        <f>IF(AND($A152&gt;=2004,$A152&lt;2007),1,0)</f>
        <v>0</v>
      </c>
      <c r="I152" s="5">
        <f>IF(AND($A152&gt;=2007,$A152&lt;2010),1,0)</f>
        <v>0</v>
      </c>
      <c r="J152" s="5">
        <f>IF(AND($A152&gt;=2010,$A152&lt;2013),1,0)</f>
        <v>0</v>
      </c>
      <c r="K152" s="5">
        <f>IF(AND($A152&gt;=2013,$A152&lt;2016),1,0)</f>
        <v>0</v>
      </c>
      <c r="L152" s="5">
        <f>IF(AND($A152&gt;=2016,$A152&lt;2019),1,0)</f>
        <v>0</v>
      </c>
      <c r="M152" s="5">
        <f>IF(AND($A152&gt;=2019,$A152&lt;2022),1,0)</f>
        <v>0</v>
      </c>
      <c r="N152" s="5">
        <f>IF(AND($A152&gt;=2022,$A152&lt;2025),1,0)</f>
        <v>0</v>
      </c>
      <c r="O152" s="5">
        <f>IF(AND($A152&gt;=2025,$A152&lt;2028),1,0)</f>
        <v>0</v>
      </c>
      <c r="P152" s="5">
        <f>($A152-1986)/((2-1)*$D$4)*B152+(1986+2*$D$4-$A152)/((2-1)*$D$4)*C152</f>
        <v>0</v>
      </c>
      <c r="Q152" s="5">
        <f>($A152-1989)/((2-1)*$D$4)*C152+(1989+2*$D$4-$A152)/((2-1)*$D$4)*D152</f>
        <v>0</v>
      </c>
      <c r="R152" s="5">
        <f>($A152-1992)/((2-1)*$D$4)*D152+(1992+2*$D$4-$A152)/((2-1)*$D$4)*E152</f>
        <v>0.33333333333333331</v>
      </c>
      <c r="S152" s="5">
        <f>($A152-1995)/((2-1)*$D$4)*E152+(1995+2*$D$4-$A152)/((2-1)*$D$4)*F152</f>
        <v>0.66666666666666663</v>
      </c>
      <c r="T152" s="5">
        <f>($A152-1998)/((2-1)*$D$4)*F152+(1998+2*$D$4-$A152)/((2-1)*$D$4)*G152</f>
        <v>0</v>
      </c>
      <c r="U152" s="5">
        <f>($A152-2001)/((2-1)*$D$4)*G152+(2001+2*$D$4-$A152)/((2-1)*$D$4)*H152</f>
        <v>0</v>
      </c>
      <c r="V152" s="5">
        <f>($A152-2004)/((2-1)*$D$4)*H152+(2004+2*$D$4-$A152)/((2-1)*$D$4)*I152</f>
        <v>0</v>
      </c>
      <c r="W152" s="5">
        <f>($A152-2007)/((2-1)*$D$4)*I152+(2007+2*$D$4-$A152)/((2-1)*$D$4)*J152</f>
        <v>0</v>
      </c>
      <c r="X152" s="5">
        <f>($A152-2010)/((2-1)*$D$4)*J152+(2010+2*$D$4-$A152)/((2-1)*$D$4)*K152</f>
        <v>0</v>
      </c>
      <c r="Y152" s="5">
        <f>($A152-2013)/((2-1)*$D$4)*K152+(2013+2*$D$4-$A152)/((2-1)*$D$4)*L152</f>
        <v>0</v>
      </c>
      <c r="Z152" s="5">
        <f>($A152-2016)/((2-1)*$D$4)*L152+(2016+2*$D$4-$A152)/((2-1)*$D$4)*M152</f>
        <v>0</v>
      </c>
      <c r="AA152" s="5">
        <f>($A152-2019)/((2-1)*$D$4)*M152+(2019+2*$D$4-$A152)/((2-1)*$D$4)*N152</f>
        <v>0</v>
      </c>
      <c r="AB152" s="5">
        <f>($A152-2022)/((2-1)*$D$4)*N152+(2022+2*$D$4-$A152)/((2-1)*$D$4)*O152</f>
        <v>0</v>
      </c>
      <c r="AC152" s="5">
        <f>($A152-1986)/((3-1)*$D$4)*P152+(1986+3*$D$4-$A152)/((3-1)*$D$4)*Q152</f>
        <v>0</v>
      </c>
      <c r="AD152" s="5">
        <f>($A152-1989)/((3-1)*$D$4)*Q152+(1989+3*$D$4-$A152)/((3-1)*$D$4)*R152</f>
        <v>0.055555555555555552</v>
      </c>
      <c r="AE152" s="5">
        <f>($A152-1992)/((3-1)*$D$4)*R152+(1992+3*$D$4-$A152)/((3-1)*$D$4)*S152</f>
        <v>0.72222222222222221</v>
      </c>
      <c r="AF152" s="5">
        <f>($A152-1995)/((3-1)*$D$4)*S152+(1995+3*$D$4-$A152)/((3-1)*$D$4)*T152</f>
        <v>0.22222222222222221</v>
      </c>
      <c r="AG152" s="5">
        <f>($A152-1998)/((3-1)*$D$4)*T152+(1998+3*$D$4-$A152)/((3-1)*$D$4)*U152</f>
        <v>0</v>
      </c>
      <c r="AH152" s="5">
        <f>($A152-2001)/((3-1)*$D$4)*U152+(2001+3*$D$4-$A152)/((3-1)*$D$4)*V152</f>
        <v>0</v>
      </c>
      <c r="AI152" s="5">
        <f>($A152-2004)/((3-1)*$D$4)*V152+(2004+3*$D$4-$A152)/((3-1)*$D$4)*W152</f>
        <v>0</v>
      </c>
      <c r="AJ152" s="5">
        <f>($A152-2007)/((3-1)*$D$4)*W152+(2007+3*$D$4-$A152)/((3-1)*$D$4)*X152</f>
        <v>0</v>
      </c>
      <c r="AK152" s="5">
        <f>($A152-2010)/((3-1)*$D$4)*X152+(2010+3*$D$4-$A152)/((3-1)*$D$4)*Y152</f>
        <v>0</v>
      </c>
      <c r="AL152" s="5">
        <f>($A152-2013)/((3-1)*$D$4)*Y152+(2013+3*$D$4-$A152)/((3-1)*$D$4)*Z152</f>
        <v>0</v>
      </c>
      <c r="AM152" s="5">
        <f>($A152-2016)/((3-1)*$D$4)*Z152+(2016+3*$D$4-$A152)/((3-1)*$D$4)*AA152</f>
        <v>0</v>
      </c>
      <c r="AN152" s="5">
        <f>($A152-2019)/((3-1)*$D$4)*AA152+(2019+3*$D$4-$A152)/((3-1)*$D$4)*AB152</f>
        <v>0</v>
      </c>
      <c r="AO152" s="5">
        <f>($A152-1986)/((4-1)*$D$4)*AC152+(1986+4*$D$4-$A152)/((4-1)*$D$4)*AD152</f>
        <v>0.0061728395061728392</v>
      </c>
      <c r="AP152" s="5">
        <f>($A152-1989)/((4-1)*$D$4)*AD152+(1989+4*$D$4-$A152)/((4-1)*$D$4)*AE152</f>
        <v>0.37037037037037035</v>
      </c>
      <c r="AQ152" s="5">
        <f>($A152-1992)/((4-1)*$D$4)*AE152+(1992+4*$D$4-$A152)/((4-1)*$D$4)*AF152</f>
        <v>0.57407407407407407</v>
      </c>
      <c r="AR152" s="5">
        <f>($A152-1995)/((4-1)*$D$4)*AF152+(1995+4*$D$4-$A152)/((4-1)*$D$4)*AG152</f>
        <v>0.049382716049382713</v>
      </c>
      <c r="AS152" s="5">
        <f>($A152-1998)/((4-1)*$D$4)*AG152+(1998+4*$D$4-$A152)/((4-1)*$D$4)*AH152</f>
        <v>0</v>
      </c>
      <c r="AT152" s="5">
        <f>($A152-2001)/((4-1)*$D$4)*AH152+(2001+4*$D$4-$A152)/((4-1)*$D$4)*AI152</f>
        <v>0</v>
      </c>
      <c r="AU152" s="5">
        <f>($A152-2004)/((4-1)*$D$4)*AI152+(2004+4*$D$4-$A152)/((4-1)*$D$4)*AJ152</f>
        <v>0</v>
      </c>
      <c r="AV152" s="5">
        <f>($A152-2007)/((4-1)*$D$4)*AJ152+(2007+4*$D$4-$A152)/((4-1)*$D$4)*AK152</f>
        <v>0</v>
      </c>
      <c r="AW152" s="5">
        <f>($A152-2010)/((4-1)*$D$4)*AK152+(2010+4*$D$4-$A152)/((4-1)*$D$4)*AL152</f>
        <v>0</v>
      </c>
      <c r="AX152" s="5">
        <f>($A152-2013)/((4-1)*$D$4)*AL152+(2013+4*$D$4-$A152)/((4-1)*$D$4)*AM152</f>
        <v>0</v>
      </c>
      <c r="AY152" s="5">
        <f>($A152-2016)/((4-1)*$D$4)*AM152+(2016+4*$D$4-$A152)/((4-1)*$D$4)*AN152</f>
        <v>0</v>
      </c>
    </row>
    <row r="153">
      <c r="A153" s="3" t="n">
        <v>1998</v>
      </c>
      <c r="B153" s="5">
        <f>IF(AND($A153&gt;=1986,$A153&lt;1989),1,0)</f>
        <v>0</v>
      </c>
      <c r="C153" s="5">
        <f>IF(AND($A153&gt;=1989,$A153&lt;1992),1,0)</f>
        <v>0</v>
      </c>
      <c r="D153" s="5">
        <f>IF(AND($A153&gt;=1992,$A153&lt;1995),1,0)</f>
        <v>0</v>
      </c>
      <c r="E153" s="5">
        <f>IF(AND($A153&gt;=1995,$A153&lt;1998),1,0)</f>
        <v>0</v>
      </c>
      <c r="F153" s="5">
        <f>IF(AND($A153&gt;=1998,$A153&lt;2001),1,0)</f>
        <v>1</v>
      </c>
      <c r="G153" s="5">
        <f>IF(AND($A153&gt;=2001,$A153&lt;2004),1,0)</f>
        <v>0</v>
      </c>
      <c r="H153" s="5">
        <f>IF(AND($A153&gt;=2004,$A153&lt;2007),1,0)</f>
        <v>0</v>
      </c>
      <c r="I153" s="5">
        <f>IF(AND($A153&gt;=2007,$A153&lt;2010),1,0)</f>
        <v>0</v>
      </c>
      <c r="J153" s="5">
        <f>IF(AND($A153&gt;=2010,$A153&lt;2013),1,0)</f>
        <v>0</v>
      </c>
      <c r="K153" s="5">
        <f>IF(AND($A153&gt;=2013,$A153&lt;2016),1,0)</f>
        <v>0</v>
      </c>
      <c r="L153" s="5">
        <f>IF(AND($A153&gt;=2016,$A153&lt;2019),1,0)</f>
        <v>0</v>
      </c>
      <c r="M153" s="5">
        <f>IF(AND($A153&gt;=2019,$A153&lt;2022),1,0)</f>
        <v>0</v>
      </c>
      <c r="N153" s="5">
        <f>IF(AND($A153&gt;=2022,$A153&lt;2025),1,0)</f>
        <v>0</v>
      </c>
      <c r="O153" s="5">
        <f>IF(AND($A153&gt;=2025,$A153&lt;2028),1,0)</f>
        <v>0</v>
      </c>
      <c r="P153" s="5">
        <f>($A153-1986)/((2-1)*$D$4)*B153+(1986+2*$D$4-$A153)/((2-1)*$D$4)*C153</f>
        <v>0</v>
      </c>
      <c r="Q153" s="5">
        <f>($A153-1989)/((2-1)*$D$4)*C153+(1989+2*$D$4-$A153)/((2-1)*$D$4)*D153</f>
        <v>0</v>
      </c>
      <c r="R153" s="5">
        <f>($A153-1992)/((2-1)*$D$4)*D153+(1992+2*$D$4-$A153)/((2-1)*$D$4)*E153</f>
        <v>0</v>
      </c>
      <c r="S153" s="5">
        <f>($A153-1995)/((2-1)*$D$4)*E153+(1995+2*$D$4-$A153)/((2-1)*$D$4)*F153</f>
        <v>1</v>
      </c>
      <c r="T153" s="5">
        <f>($A153-1998)/((2-1)*$D$4)*F153+(1998+2*$D$4-$A153)/((2-1)*$D$4)*G153</f>
        <v>0</v>
      </c>
      <c r="U153" s="5">
        <f>($A153-2001)/((2-1)*$D$4)*G153+(2001+2*$D$4-$A153)/((2-1)*$D$4)*H153</f>
        <v>0</v>
      </c>
      <c r="V153" s="5">
        <f>($A153-2004)/((2-1)*$D$4)*H153+(2004+2*$D$4-$A153)/((2-1)*$D$4)*I153</f>
        <v>0</v>
      </c>
      <c r="W153" s="5">
        <f>($A153-2007)/((2-1)*$D$4)*I153+(2007+2*$D$4-$A153)/((2-1)*$D$4)*J153</f>
        <v>0</v>
      </c>
      <c r="X153" s="5">
        <f>($A153-2010)/((2-1)*$D$4)*J153+(2010+2*$D$4-$A153)/((2-1)*$D$4)*K153</f>
        <v>0</v>
      </c>
      <c r="Y153" s="5">
        <f>($A153-2013)/((2-1)*$D$4)*K153+(2013+2*$D$4-$A153)/((2-1)*$D$4)*L153</f>
        <v>0</v>
      </c>
      <c r="Z153" s="5">
        <f>($A153-2016)/((2-1)*$D$4)*L153+(2016+2*$D$4-$A153)/((2-1)*$D$4)*M153</f>
        <v>0</v>
      </c>
      <c r="AA153" s="5">
        <f>($A153-2019)/((2-1)*$D$4)*M153+(2019+2*$D$4-$A153)/((2-1)*$D$4)*N153</f>
        <v>0</v>
      </c>
      <c r="AB153" s="5">
        <f>($A153-2022)/((2-1)*$D$4)*N153+(2022+2*$D$4-$A153)/((2-1)*$D$4)*O153</f>
        <v>0</v>
      </c>
      <c r="AC153" s="5">
        <f>($A153-1986)/((3-1)*$D$4)*P153+(1986+3*$D$4-$A153)/((3-1)*$D$4)*Q153</f>
        <v>0</v>
      </c>
      <c r="AD153" s="5">
        <f>($A153-1989)/((3-1)*$D$4)*Q153+(1989+3*$D$4-$A153)/((3-1)*$D$4)*R153</f>
        <v>0</v>
      </c>
      <c r="AE153" s="5">
        <f>($A153-1992)/((3-1)*$D$4)*R153+(1992+3*$D$4-$A153)/((3-1)*$D$4)*S153</f>
        <v>0.5</v>
      </c>
      <c r="AF153" s="5">
        <f>($A153-1995)/((3-1)*$D$4)*S153+(1995+3*$D$4-$A153)/((3-1)*$D$4)*T153</f>
        <v>0.5</v>
      </c>
      <c r="AG153" s="5">
        <f>($A153-1998)/((3-1)*$D$4)*T153+(1998+3*$D$4-$A153)/((3-1)*$D$4)*U153</f>
        <v>0</v>
      </c>
      <c r="AH153" s="5">
        <f>($A153-2001)/((3-1)*$D$4)*U153+(2001+3*$D$4-$A153)/((3-1)*$D$4)*V153</f>
        <v>0</v>
      </c>
      <c r="AI153" s="5">
        <f>($A153-2004)/((3-1)*$D$4)*V153+(2004+3*$D$4-$A153)/((3-1)*$D$4)*W153</f>
        <v>0</v>
      </c>
      <c r="AJ153" s="5">
        <f>($A153-2007)/((3-1)*$D$4)*W153+(2007+3*$D$4-$A153)/((3-1)*$D$4)*X153</f>
        <v>0</v>
      </c>
      <c r="AK153" s="5">
        <f>($A153-2010)/((3-1)*$D$4)*X153+(2010+3*$D$4-$A153)/((3-1)*$D$4)*Y153</f>
        <v>0</v>
      </c>
      <c r="AL153" s="5">
        <f>($A153-2013)/((3-1)*$D$4)*Y153+(2013+3*$D$4-$A153)/((3-1)*$D$4)*Z153</f>
        <v>0</v>
      </c>
      <c r="AM153" s="5">
        <f>($A153-2016)/((3-1)*$D$4)*Z153+(2016+3*$D$4-$A153)/((3-1)*$D$4)*AA153</f>
        <v>0</v>
      </c>
      <c r="AN153" s="5">
        <f>($A153-2019)/((3-1)*$D$4)*AA153+(2019+3*$D$4-$A153)/((3-1)*$D$4)*AB153</f>
        <v>0</v>
      </c>
      <c r="AO153" s="5">
        <f>($A153-1986)/((4-1)*$D$4)*AC153+(1986+4*$D$4-$A153)/((4-1)*$D$4)*AD153</f>
        <v>0</v>
      </c>
      <c r="AP153" s="5">
        <f>($A153-1989)/((4-1)*$D$4)*AD153+(1989+4*$D$4-$A153)/((4-1)*$D$4)*AE153</f>
        <v>0.16666666666666666</v>
      </c>
      <c r="AQ153" s="5">
        <f>($A153-1992)/((4-1)*$D$4)*AE153+(1992+4*$D$4-$A153)/((4-1)*$D$4)*AF153</f>
        <v>0.66666666666666663</v>
      </c>
      <c r="AR153" s="5">
        <f>($A153-1995)/((4-1)*$D$4)*AF153+(1995+4*$D$4-$A153)/((4-1)*$D$4)*AG153</f>
        <v>0.16666666666666666</v>
      </c>
      <c r="AS153" s="5">
        <f>($A153-1998)/((4-1)*$D$4)*AG153+(1998+4*$D$4-$A153)/((4-1)*$D$4)*AH153</f>
        <v>0</v>
      </c>
      <c r="AT153" s="5">
        <f>($A153-2001)/((4-1)*$D$4)*AH153+(2001+4*$D$4-$A153)/((4-1)*$D$4)*AI153</f>
        <v>0</v>
      </c>
      <c r="AU153" s="5">
        <f>($A153-2004)/((4-1)*$D$4)*AI153+(2004+4*$D$4-$A153)/((4-1)*$D$4)*AJ153</f>
        <v>0</v>
      </c>
      <c r="AV153" s="5">
        <f>($A153-2007)/((4-1)*$D$4)*AJ153+(2007+4*$D$4-$A153)/((4-1)*$D$4)*AK153</f>
        <v>0</v>
      </c>
      <c r="AW153" s="5">
        <f>($A153-2010)/((4-1)*$D$4)*AK153+(2010+4*$D$4-$A153)/((4-1)*$D$4)*AL153</f>
        <v>0</v>
      </c>
      <c r="AX153" s="5">
        <f>($A153-2013)/((4-1)*$D$4)*AL153+(2013+4*$D$4-$A153)/((4-1)*$D$4)*AM153</f>
        <v>0</v>
      </c>
      <c r="AY153" s="5">
        <f>($A153-2016)/((4-1)*$D$4)*AM153+(2016+4*$D$4-$A153)/((4-1)*$D$4)*AN153</f>
        <v>0</v>
      </c>
    </row>
    <row r="154">
      <c r="A154" s="3" t="n">
        <v>1999</v>
      </c>
      <c r="B154" s="5">
        <f>IF(AND($A154&gt;=1986,$A154&lt;1989),1,0)</f>
        <v>0</v>
      </c>
      <c r="C154" s="5">
        <f>IF(AND($A154&gt;=1989,$A154&lt;1992),1,0)</f>
        <v>0</v>
      </c>
      <c r="D154" s="5">
        <f>IF(AND($A154&gt;=1992,$A154&lt;1995),1,0)</f>
        <v>0</v>
      </c>
      <c r="E154" s="5">
        <f>IF(AND($A154&gt;=1995,$A154&lt;1998),1,0)</f>
        <v>0</v>
      </c>
      <c r="F154" s="5">
        <f>IF(AND($A154&gt;=1998,$A154&lt;2001),1,0)</f>
        <v>1</v>
      </c>
      <c r="G154" s="5">
        <f>IF(AND($A154&gt;=2001,$A154&lt;2004),1,0)</f>
        <v>0</v>
      </c>
      <c r="H154" s="5">
        <f>IF(AND($A154&gt;=2004,$A154&lt;2007),1,0)</f>
        <v>0</v>
      </c>
      <c r="I154" s="5">
        <f>IF(AND($A154&gt;=2007,$A154&lt;2010),1,0)</f>
        <v>0</v>
      </c>
      <c r="J154" s="5">
        <f>IF(AND($A154&gt;=2010,$A154&lt;2013),1,0)</f>
        <v>0</v>
      </c>
      <c r="K154" s="5">
        <f>IF(AND($A154&gt;=2013,$A154&lt;2016),1,0)</f>
        <v>0</v>
      </c>
      <c r="L154" s="5">
        <f>IF(AND($A154&gt;=2016,$A154&lt;2019),1,0)</f>
        <v>0</v>
      </c>
      <c r="M154" s="5">
        <f>IF(AND($A154&gt;=2019,$A154&lt;2022),1,0)</f>
        <v>0</v>
      </c>
      <c r="N154" s="5">
        <f>IF(AND($A154&gt;=2022,$A154&lt;2025),1,0)</f>
        <v>0</v>
      </c>
      <c r="O154" s="5">
        <f>IF(AND($A154&gt;=2025,$A154&lt;2028),1,0)</f>
        <v>0</v>
      </c>
      <c r="P154" s="5">
        <f>($A154-1986)/((2-1)*$D$4)*B154+(1986+2*$D$4-$A154)/((2-1)*$D$4)*C154</f>
        <v>0</v>
      </c>
      <c r="Q154" s="5">
        <f>($A154-1989)/((2-1)*$D$4)*C154+(1989+2*$D$4-$A154)/((2-1)*$D$4)*D154</f>
        <v>0</v>
      </c>
      <c r="R154" s="5">
        <f>($A154-1992)/((2-1)*$D$4)*D154+(1992+2*$D$4-$A154)/((2-1)*$D$4)*E154</f>
        <v>0</v>
      </c>
      <c r="S154" s="5">
        <f>($A154-1995)/((2-1)*$D$4)*E154+(1995+2*$D$4-$A154)/((2-1)*$D$4)*F154</f>
        <v>0.66666666666666663</v>
      </c>
      <c r="T154" s="5">
        <f>($A154-1998)/((2-1)*$D$4)*F154+(1998+2*$D$4-$A154)/((2-1)*$D$4)*G154</f>
        <v>0.33333333333333331</v>
      </c>
      <c r="U154" s="5">
        <f>($A154-2001)/((2-1)*$D$4)*G154+(2001+2*$D$4-$A154)/((2-1)*$D$4)*H154</f>
        <v>0</v>
      </c>
      <c r="V154" s="5">
        <f>($A154-2004)/((2-1)*$D$4)*H154+(2004+2*$D$4-$A154)/((2-1)*$D$4)*I154</f>
        <v>0</v>
      </c>
      <c r="W154" s="5">
        <f>($A154-2007)/((2-1)*$D$4)*I154+(2007+2*$D$4-$A154)/((2-1)*$D$4)*J154</f>
        <v>0</v>
      </c>
      <c r="X154" s="5">
        <f>($A154-2010)/((2-1)*$D$4)*J154+(2010+2*$D$4-$A154)/((2-1)*$D$4)*K154</f>
        <v>0</v>
      </c>
      <c r="Y154" s="5">
        <f>($A154-2013)/((2-1)*$D$4)*K154+(2013+2*$D$4-$A154)/((2-1)*$D$4)*L154</f>
        <v>0</v>
      </c>
      <c r="Z154" s="5">
        <f>($A154-2016)/((2-1)*$D$4)*L154+(2016+2*$D$4-$A154)/((2-1)*$D$4)*M154</f>
        <v>0</v>
      </c>
      <c r="AA154" s="5">
        <f>($A154-2019)/((2-1)*$D$4)*M154+(2019+2*$D$4-$A154)/((2-1)*$D$4)*N154</f>
        <v>0</v>
      </c>
      <c r="AB154" s="5">
        <f>($A154-2022)/((2-1)*$D$4)*N154+(2022+2*$D$4-$A154)/((2-1)*$D$4)*O154</f>
        <v>0</v>
      </c>
      <c r="AC154" s="5">
        <f>($A154-1986)/((3-1)*$D$4)*P154+(1986+3*$D$4-$A154)/((3-1)*$D$4)*Q154</f>
        <v>0</v>
      </c>
      <c r="AD154" s="5">
        <f>($A154-1989)/((3-1)*$D$4)*Q154+(1989+3*$D$4-$A154)/((3-1)*$D$4)*R154</f>
        <v>0</v>
      </c>
      <c r="AE154" s="5">
        <f>($A154-1992)/((3-1)*$D$4)*R154+(1992+3*$D$4-$A154)/((3-1)*$D$4)*S154</f>
        <v>0.22222222222222221</v>
      </c>
      <c r="AF154" s="5">
        <f>($A154-1995)/((3-1)*$D$4)*S154+(1995+3*$D$4-$A154)/((3-1)*$D$4)*T154</f>
        <v>0.72222222222222221</v>
      </c>
      <c r="AG154" s="5">
        <f>($A154-1998)/((3-1)*$D$4)*T154+(1998+3*$D$4-$A154)/((3-1)*$D$4)*U154</f>
        <v>0.055555555555555552</v>
      </c>
      <c r="AH154" s="5">
        <f>($A154-2001)/((3-1)*$D$4)*U154+(2001+3*$D$4-$A154)/((3-1)*$D$4)*V154</f>
        <v>0</v>
      </c>
      <c r="AI154" s="5">
        <f>($A154-2004)/((3-1)*$D$4)*V154+(2004+3*$D$4-$A154)/((3-1)*$D$4)*W154</f>
        <v>0</v>
      </c>
      <c r="AJ154" s="5">
        <f>($A154-2007)/((3-1)*$D$4)*W154+(2007+3*$D$4-$A154)/((3-1)*$D$4)*X154</f>
        <v>0</v>
      </c>
      <c r="AK154" s="5">
        <f>($A154-2010)/((3-1)*$D$4)*X154+(2010+3*$D$4-$A154)/((3-1)*$D$4)*Y154</f>
        <v>0</v>
      </c>
      <c r="AL154" s="5">
        <f>($A154-2013)/((3-1)*$D$4)*Y154+(2013+3*$D$4-$A154)/((3-1)*$D$4)*Z154</f>
        <v>0</v>
      </c>
      <c r="AM154" s="5">
        <f>($A154-2016)/((3-1)*$D$4)*Z154+(2016+3*$D$4-$A154)/((3-1)*$D$4)*AA154</f>
        <v>0</v>
      </c>
      <c r="AN154" s="5">
        <f>($A154-2019)/((3-1)*$D$4)*AA154+(2019+3*$D$4-$A154)/((3-1)*$D$4)*AB154</f>
        <v>0</v>
      </c>
      <c r="AO154" s="5">
        <f>($A154-1986)/((4-1)*$D$4)*AC154+(1986+4*$D$4-$A154)/((4-1)*$D$4)*AD154</f>
        <v>0</v>
      </c>
      <c r="AP154" s="5">
        <f>($A154-1989)/((4-1)*$D$4)*AD154+(1989+4*$D$4-$A154)/((4-1)*$D$4)*AE154</f>
        <v>0.049382716049382713</v>
      </c>
      <c r="AQ154" s="5">
        <f>($A154-1992)/((4-1)*$D$4)*AE154+(1992+4*$D$4-$A154)/((4-1)*$D$4)*AF154</f>
        <v>0.57407407407407407</v>
      </c>
      <c r="AR154" s="5">
        <f>($A154-1995)/((4-1)*$D$4)*AF154+(1995+4*$D$4-$A154)/((4-1)*$D$4)*AG154</f>
        <v>0.37037037037037035</v>
      </c>
      <c r="AS154" s="5">
        <f>($A154-1998)/((4-1)*$D$4)*AG154+(1998+4*$D$4-$A154)/((4-1)*$D$4)*AH154</f>
        <v>0.0061728395061728392</v>
      </c>
      <c r="AT154" s="5">
        <f>($A154-2001)/((4-1)*$D$4)*AH154+(2001+4*$D$4-$A154)/((4-1)*$D$4)*AI154</f>
        <v>0</v>
      </c>
      <c r="AU154" s="5">
        <f>($A154-2004)/((4-1)*$D$4)*AI154+(2004+4*$D$4-$A154)/((4-1)*$D$4)*AJ154</f>
        <v>0</v>
      </c>
      <c r="AV154" s="5">
        <f>($A154-2007)/((4-1)*$D$4)*AJ154+(2007+4*$D$4-$A154)/((4-1)*$D$4)*AK154</f>
        <v>0</v>
      </c>
      <c r="AW154" s="5">
        <f>($A154-2010)/((4-1)*$D$4)*AK154+(2010+4*$D$4-$A154)/((4-1)*$D$4)*AL154</f>
        <v>0</v>
      </c>
      <c r="AX154" s="5">
        <f>($A154-2013)/((4-1)*$D$4)*AL154+(2013+4*$D$4-$A154)/((4-1)*$D$4)*AM154</f>
        <v>0</v>
      </c>
      <c r="AY154" s="5">
        <f>($A154-2016)/((4-1)*$D$4)*AM154+(2016+4*$D$4-$A154)/((4-1)*$D$4)*AN154</f>
        <v>0</v>
      </c>
    </row>
    <row r="155">
      <c r="A155" s="3" t="n">
        <v>2000</v>
      </c>
      <c r="B155" s="5">
        <f>IF(AND($A155&gt;=1986,$A155&lt;1989),1,0)</f>
        <v>0</v>
      </c>
      <c r="C155" s="5">
        <f>IF(AND($A155&gt;=1989,$A155&lt;1992),1,0)</f>
        <v>0</v>
      </c>
      <c r="D155" s="5">
        <f>IF(AND($A155&gt;=1992,$A155&lt;1995),1,0)</f>
        <v>0</v>
      </c>
      <c r="E155" s="5">
        <f>IF(AND($A155&gt;=1995,$A155&lt;1998),1,0)</f>
        <v>0</v>
      </c>
      <c r="F155" s="5">
        <f>IF(AND($A155&gt;=1998,$A155&lt;2001),1,0)</f>
        <v>1</v>
      </c>
      <c r="G155" s="5">
        <f>IF(AND($A155&gt;=2001,$A155&lt;2004),1,0)</f>
        <v>0</v>
      </c>
      <c r="H155" s="5">
        <f>IF(AND($A155&gt;=2004,$A155&lt;2007),1,0)</f>
        <v>0</v>
      </c>
      <c r="I155" s="5">
        <f>IF(AND($A155&gt;=2007,$A155&lt;2010),1,0)</f>
        <v>0</v>
      </c>
      <c r="J155" s="5">
        <f>IF(AND($A155&gt;=2010,$A155&lt;2013),1,0)</f>
        <v>0</v>
      </c>
      <c r="K155" s="5">
        <f>IF(AND($A155&gt;=2013,$A155&lt;2016),1,0)</f>
        <v>0</v>
      </c>
      <c r="L155" s="5">
        <f>IF(AND($A155&gt;=2016,$A155&lt;2019),1,0)</f>
        <v>0</v>
      </c>
      <c r="M155" s="5">
        <f>IF(AND($A155&gt;=2019,$A155&lt;2022),1,0)</f>
        <v>0</v>
      </c>
      <c r="N155" s="5">
        <f>IF(AND($A155&gt;=2022,$A155&lt;2025),1,0)</f>
        <v>0</v>
      </c>
      <c r="O155" s="5">
        <f>IF(AND($A155&gt;=2025,$A155&lt;2028),1,0)</f>
        <v>0</v>
      </c>
      <c r="P155" s="5">
        <f>($A155-1986)/((2-1)*$D$4)*B155+(1986+2*$D$4-$A155)/((2-1)*$D$4)*C155</f>
        <v>0</v>
      </c>
      <c r="Q155" s="5">
        <f>($A155-1989)/((2-1)*$D$4)*C155+(1989+2*$D$4-$A155)/((2-1)*$D$4)*D155</f>
        <v>0</v>
      </c>
      <c r="R155" s="5">
        <f>($A155-1992)/((2-1)*$D$4)*D155+(1992+2*$D$4-$A155)/((2-1)*$D$4)*E155</f>
        <v>0</v>
      </c>
      <c r="S155" s="5">
        <f>($A155-1995)/((2-1)*$D$4)*E155+(1995+2*$D$4-$A155)/((2-1)*$D$4)*F155</f>
        <v>0.33333333333333331</v>
      </c>
      <c r="T155" s="5">
        <f>($A155-1998)/((2-1)*$D$4)*F155+(1998+2*$D$4-$A155)/((2-1)*$D$4)*G155</f>
        <v>0.66666666666666663</v>
      </c>
      <c r="U155" s="5">
        <f>($A155-2001)/((2-1)*$D$4)*G155+(2001+2*$D$4-$A155)/((2-1)*$D$4)*H155</f>
        <v>0</v>
      </c>
      <c r="V155" s="5">
        <f>($A155-2004)/((2-1)*$D$4)*H155+(2004+2*$D$4-$A155)/((2-1)*$D$4)*I155</f>
        <v>0</v>
      </c>
      <c r="W155" s="5">
        <f>($A155-2007)/((2-1)*$D$4)*I155+(2007+2*$D$4-$A155)/((2-1)*$D$4)*J155</f>
        <v>0</v>
      </c>
      <c r="X155" s="5">
        <f>($A155-2010)/((2-1)*$D$4)*J155+(2010+2*$D$4-$A155)/((2-1)*$D$4)*K155</f>
        <v>0</v>
      </c>
      <c r="Y155" s="5">
        <f>($A155-2013)/((2-1)*$D$4)*K155+(2013+2*$D$4-$A155)/((2-1)*$D$4)*L155</f>
        <v>0</v>
      </c>
      <c r="Z155" s="5">
        <f>($A155-2016)/((2-1)*$D$4)*L155+(2016+2*$D$4-$A155)/((2-1)*$D$4)*M155</f>
        <v>0</v>
      </c>
      <c r="AA155" s="5">
        <f>($A155-2019)/((2-1)*$D$4)*M155+(2019+2*$D$4-$A155)/((2-1)*$D$4)*N155</f>
        <v>0</v>
      </c>
      <c r="AB155" s="5">
        <f>($A155-2022)/((2-1)*$D$4)*N155+(2022+2*$D$4-$A155)/((2-1)*$D$4)*O155</f>
        <v>0</v>
      </c>
      <c r="AC155" s="5">
        <f>($A155-1986)/((3-1)*$D$4)*P155+(1986+3*$D$4-$A155)/((3-1)*$D$4)*Q155</f>
        <v>0</v>
      </c>
      <c r="AD155" s="5">
        <f>($A155-1989)/((3-1)*$D$4)*Q155+(1989+3*$D$4-$A155)/((3-1)*$D$4)*R155</f>
        <v>0</v>
      </c>
      <c r="AE155" s="5">
        <f>($A155-1992)/((3-1)*$D$4)*R155+(1992+3*$D$4-$A155)/((3-1)*$D$4)*S155</f>
        <v>0.055555555555555552</v>
      </c>
      <c r="AF155" s="5">
        <f>($A155-1995)/((3-1)*$D$4)*S155+(1995+3*$D$4-$A155)/((3-1)*$D$4)*T155</f>
        <v>0.72222222222222221</v>
      </c>
      <c r="AG155" s="5">
        <f>($A155-1998)/((3-1)*$D$4)*T155+(1998+3*$D$4-$A155)/((3-1)*$D$4)*U155</f>
        <v>0.22222222222222221</v>
      </c>
      <c r="AH155" s="5">
        <f>($A155-2001)/((3-1)*$D$4)*U155+(2001+3*$D$4-$A155)/((3-1)*$D$4)*V155</f>
        <v>0</v>
      </c>
      <c r="AI155" s="5">
        <f>($A155-2004)/((3-1)*$D$4)*V155+(2004+3*$D$4-$A155)/((3-1)*$D$4)*W155</f>
        <v>0</v>
      </c>
      <c r="AJ155" s="5">
        <f>($A155-2007)/((3-1)*$D$4)*W155+(2007+3*$D$4-$A155)/((3-1)*$D$4)*X155</f>
        <v>0</v>
      </c>
      <c r="AK155" s="5">
        <f>($A155-2010)/((3-1)*$D$4)*X155+(2010+3*$D$4-$A155)/((3-1)*$D$4)*Y155</f>
        <v>0</v>
      </c>
      <c r="AL155" s="5">
        <f>($A155-2013)/((3-1)*$D$4)*Y155+(2013+3*$D$4-$A155)/((3-1)*$D$4)*Z155</f>
        <v>0</v>
      </c>
      <c r="AM155" s="5">
        <f>($A155-2016)/((3-1)*$D$4)*Z155+(2016+3*$D$4-$A155)/((3-1)*$D$4)*AA155</f>
        <v>0</v>
      </c>
      <c r="AN155" s="5">
        <f>($A155-2019)/((3-1)*$D$4)*AA155+(2019+3*$D$4-$A155)/((3-1)*$D$4)*AB155</f>
        <v>0</v>
      </c>
      <c r="AO155" s="5">
        <f>($A155-1986)/((4-1)*$D$4)*AC155+(1986+4*$D$4-$A155)/((4-1)*$D$4)*AD155</f>
        <v>0</v>
      </c>
      <c r="AP155" s="5">
        <f>($A155-1989)/((4-1)*$D$4)*AD155+(1989+4*$D$4-$A155)/((4-1)*$D$4)*AE155</f>
        <v>0.0061728395061728392</v>
      </c>
      <c r="AQ155" s="5">
        <f>($A155-1992)/((4-1)*$D$4)*AE155+(1992+4*$D$4-$A155)/((4-1)*$D$4)*AF155</f>
        <v>0.37037037037037035</v>
      </c>
      <c r="AR155" s="5">
        <f>($A155-1995)/((4-1)*$D$4)*AF155+(1995+4*$D$4-$A155)/((4-1)*$D$4)*AG155</f>
        <v>0.57407407407407407</v>
      </c>
      <c r="AS155" s="5">
        <f>($A155-1998)/((4-1)*$D$4)*AG155+(1998+4*$D$4-$A155)/((4-1)*$D$4)*AH155</f>
        <v>0.049382716049382713</v>
      </c>
      <c r="AT155" s="5">
        <f>($A155-2001)/((4-1)*$D$4)*AH155+(2001+4*$D$4-$A155)/((4-1)*$D$4)*AI155</f>
        <v>0</v>
      </c>
      <c r="AU155" s="5">
        <f>($A155-2004)/((4-1)*$D$4)*AI155+(2004+4*$D$4-$A155)/((4-1)*$D$4)*AJ155</f>
        <v>0</v>
      </c>
      <c r="AV155" s="5">
        <f>($A155-2007)/((4-1)*$D$4)*AJ155+(2007+4*$D$4-$A155)/((4-1)*$D$4)*AK155</f>
        <v>0</v>
      </c>
      <c r="AW155" s="5">
        <f>($A155-2010)/((4-1)*$D$4)*AK155+(2010+4*$D$4-$A155)/((4-1)*$D$4)*AL155</f>
        <v>0</v>
      </c>
      <c r="AX155" s="5">
        <f>($A155-2013)/((4-1)*$D$4)*AL155+(2013+4*$D$4-$A155)/((4-1)*$D$4)*AM155</f>
        <v>0</v>
      </c>
      <c r="AY155" s="5">
        <f>($A155-2016)/((4-1)*$D$4)*AM155+(2016+4*$D$4-$A155)/((4-1)*$D$4)*AN155</f>
        <v>0</v>
      </c>
    </row>
    <row r="156">
      <c r="A156" s="3" t="n">
        <v>2001</v>
      </c>
      <c r="B156" s="5">
        <f>IF(AND($A156&gt;=1986,$A156&lt;1989),1,0)</f>
        <v>0</v>
      </c>
      <c r="C156" s="5">
        <f>IF(AND($A156&gt;=1989,$A156&lt;1992),1,0)</f>
        <v>0</v>
      </c>
      <c r="D156" s="5">
        <f>IF(AND($A156&gt;=1992,$A156&lt;1995),1,0)</f>
        <v>0</v>
      </c>
      <c r="E156" s="5">
        <f>IF(AND($A156&gt;=1995,$A156&lt;1998),1,0)</f>
        <v>0</v>
      </c>
      <c r="F156" s="5">
        <f>IF(AND($A156&gt;=1998,$A156&lt;2001),1,0)</f>
        <v>0</v>
      </c>
      <c r="G156" s="5">
        <f>IF(AND($A156&gt;=2001,$A156&lt;2004),1,0)</f>
        <v>1</v>
      </c>
      <c r="H156" s="5">
        <f>IF(AND($A156&gt;=2004,$A156&lt;2007),1,0)</f>
        <v>0</v>
      </c>
      <c r="I156" s="5">
        <f>IF(AND($A156&gt;=2007,$A156&lt;2010),1,0)</f>
        <v>0</v>
      </c>
      <c r="J156" s="5">
        <f>IF(AND($A156&gt;=2010,$A156&lt;2013),1,0)</f>
        <v>0</v>
      </c>
      <c r="K156" s="5">
        <f>IF(AND($A156&gt;=2013,$A156&lt;2016),1,0)</f>
        <v>0</v>
      </c>
      <c r="L156" s="5">
        <f>IF(AND($A156&gt;=2016,$A156&lt;2019),1,0)</f>
        <v>0</v>
      </c>
      <c r="M156" s="5">
        <f>IF(AND($A156&gt;=2019,$A156&lt;2022),1,0)</f>
        <v>0</v>
      </c>
      <c r="N156" s="5">
        <f>IF(AND($A156&gt;=2022,$A156&lt;2025),1,0)</f>
        <v>0</v>
      </c>
      <c r="O156" s="5">
        <f>IF(AND($A156&gt;=2025,$A156&lt;2028),1,0)</f>
        <v>0</v>
      </c>
      <c r="P156" s="5">
        <f>($A156-1986)/((2-1)*$D$4)*B156+(1986+2*$D$4-$A156)/((2-1)*$D$4)*C156</f>
        <v>0</v>
      </c>
      <c r="Q156" s="5">
        <f>($A156-1989)/((2-1)*$D$4)*C156+(1989+2*$D$4-$A156)/((2-1)*$D$4)*D156</f>
        <v>0</v>
      </c>
      <c r="R156" s="5">
        <f>($A156-1992)/((2-1)*$D$4)*D156+(1992+2*$D$4-$A156)/((2-1)*$D$4)*E156</f>
        <v>0</v>
      </c>
      <c r="S156" s="5">
        <f>($A156-1995)/((2-1)*$D$4)*E156+(1995+2*$D$4-$A156)/((2-1)*$D$4)*F156</f>
        <v>0</v>
      </c>
      <c r="T156" s="5">
        <f>($A156-1998)/((2-1)*$D$4)*F156+(1998+2*$D$4-$A156)/((2-1)*$D$4)*G156</f>
        <v>1</v>
      </c>
      <c r="U156" s="5">
        <f>($A156-2001)/((2-1)*$D$4)*G156+(2001+2*$D$4-$A156)/((2-1)*$D$4)*H156</f>
        <v>0</v>
      </c>
      <c r="V156" s="5">
        <f>($A156-2004)/((2-1)*$D$4)*H156+(2004+2*$D$4-$A156)/((2-1)*$D$4)*I156</f>
        <v>0</v>
      </c>
      <c r="W156" s="5">
        <f>($A156-2007)/((2-1)*$D$4)*I156+(2007+2*$D$4-$A156)/((2-1)*$D$4)*J156</f>
        <v>0</v>
      </c>
      <c r="X156" s="5">
        <f>($A156-2010)/((2-1)*$D$4)*J156+(2010+2*$D$4-$A156)/((2-1)*$D$4)*K156</f>
        <v>0</v>
      </c>
      <c r="Y156" s="5">
        <f>($A156-2013)/((2-1)*$D$4)*K156+(2013+2*$D$4-$A156)/((2-1)*$D$4)*L156</f>
        <v>0</v>
      </c>
      <c r="Z156" s="5">
        <f>($A156-2016)/((2-1)*$D$4)*L156+(2016+2*$D$4-$A156)/((2-1)*$D$4)*M156</f>
        <v>0</v>
      </c>
      <c r="AA156" s="5">
        <f>($A156-2019)/((2-1)*$D$4)*M156+(2019+2*$D$4-$A156)/((2-1)*$D$4)*N156</f>
        <v>0</v>
      </c>
      <c r="AB156" s="5">
        <f>($A156-2022)/((2-1)*$D$4)*N156+(2022+2*$D$4-$A156)/((2-1)*$D$4)*O156</f>
        <v>0</v>
      </c>
      <c r="AC156" s="5">
        <f>($A156-1986)/((3-1)*$D$4)*P156+(1986+3*$D$4-$A156)/((3-1)*$D$4)*Q156</f>
        <v>0</v>
      </c>
      <c r="AD156" s="5">
        <f>($A156-1989)/((3-1)*$D$4)*Q156+(1989+3*$D$4-$A156)/((3-1)*$D$4)*R156</f>
        <v>0</v>
      </c>
      <c r="AE156" s="5">
        <f>($A156-1992)/((3-1)*$D$4)*R156+(1992+3*$D$4-$A156)/((3-1)*$D$4)*S156</f>
        <v>0</v>
      </c>
      <c r="AF156" s="5">
        <f>($A156-1995)/((3-1)*$D$4)*S156+(1995+3*$D$4-$A156)/((3-1)*$D$4)*T156</f>
        <v>0.5</v>
      </c>
      <c r="AG156" s="5">
        <f>($A156-1998)/((3-1)*$D$4)*T156+(1998+3*$D$4-$A156)/((3-1)*$D$4)*U156</f>
        <v>0.5</v>
      </c>
      <c r="AH156" s="5">
        <f>($A156-2001)/((3-1)*$D$4)*U156+(2001+3*$D$4-$A156)/((3-1)*$D$4)*V156</f>
        <v>0</v>
      </c>
      <c r="AI156" s="5">
        <f>($A156-2004)/((3-1)*$D$4)*V156+(2004+3*$D$4-$A156)/((3-1)*$D$4)*W156</f>
        <v>0</v>
      </c>
      <c r="AJ156" s="5">
        <f>($A156-2007)/((3-1)*$D$4)*W156+(2007+3*$D$4-$A156)/((3-1)*$D$4)*X156</f>
        <v>0</v>
      </c>
      <c r="AK156" s="5">
        <f>($A156-2010)/((3-1)*$D$4)*X156+(2010+3*$D$4-$A156)/((3-1)*$D$4)*Y156</f>
        <v>0</v>
      </c>
      <c r="AL156" s="5">
        <f>($A156-2013)/((3-1)*$D$4)*Y156+(2013+3*$D$4-$A156)/((3-1)*$D$4)*Z156</f>
        <v>0</v>
      </c>
      <c r="AM156" s="5">
        <f>($A156-2016)/((3-1)*$D$4)*Z156+(2016+3*$D$4-$A156)/((3-1)*$D$4)*AA156</f>
        <v>0</v>
      </c>
      <c r="AN156" s="5">
        <f>($A156-2019)/((3-1)*$D$4)*AA156+(2019+3*$D$4-$A156)/((3-1)*$D$4)*AB156</f>
        <v>0</v>
      </c>
      <c r="AO156" s="5">
        <f>($A156-1986)/((4-1)*$D$4)*AC156+(1986+4*$D$4-$A156)/((4-1)*$D$4)*AD156</f>
        <v>0</v>
      </c>
      <c r="AP156" s="5">
        <f>($A156-1989)/((4-1)*$D$4)*AD156+(1989+4*$D$4-$A156)/((4-1)*$D$4)*AE156</f>
        <v>0</v>
      </c>
      <c r="AQ156" s="5">
        <f>($A156-1992)/((4-1)*$D$4)*AE156+(1992+4*$D$4-$A156)/((4-1)*$D$4)*AF156</f>
        <v>0.16666666666666666</v>
      </c>
      <c r="AR156" s="5">
        <f>($A156-1995)/((4-1)*$D$4)*AF156+(1995+4*$D$4-$A156)/((4-1)*$D$4)*AG156</f>
        <v>0.66666666666666663</v>
      </c>
      <c r="AS156" s="5">
        <f>($A156-1998)/((4-1)*$D$4)*AG156+(1998+4*$D$4-$A156)/((4-1)*$D$4)*AH156</f>
        <v>0.16666666666666666</v>
      </c>
      <c r="AT156" s="5">
        <f>($A156-2001)/((4-1)*$D$4)*AH156+(2001+4*$D$4-$A156)/((4-1)*$D$4)*AI156</f>
        <v>0</v>
      </c>
      <c r="AU156" s="5">
        <f>($A156-2004)/((4-1)*$D$4)*AI156+(2004+4*$D$4-$A156)/((4-1)*$D$4)*AJ156</f>
        <v>0</v>
      </c>
      <c r="AV156" s="5">
        <f>($A156-2007)/((4-1)*$D$4)*AJ156+(2007+4*$D$4-$A156)/((4-1)*$D$4)*AK156</f>
        <v>0</v>
      </c>
      <c r="AW156" s="5">
        <f>($A156-2010)/((4-1)*$D$4)*AK156+(2010+4*$D$4-$A156)/((4-1)*$D$4)*AL156</f>
        <v>0</v>
      </c>
      <c r="AX156" s="5">
        <f>($A156-2013)/((4-1)*$D$4)*AL156+(2013+4*$D$4-$A156)/((4-1)*$D$4)*AM156</f>
        <v>0</v>
      </c>
      <c r="AY156" s="5">
        <f>($A156-2016)/((4-1)*$D$4)*AM156+(2016+4*$D$4-$A156)/((4-1)*$D$4)*AN156</f>
        <v>0</v>
      </c>
    </row>
    <row r="157">
      <c r="A157" s="3" t="n">
        <v>2002</v>
      </c>
      <c r="B157" s="5">
        <f>IF(AND($A157&gt;=1986,$A157&lt;1989),1,0)</f>
        <v>0</v>
      </c>
      <c r="C157" s="5">
        <f>IF(AND($A157&gt;=1989,$A157&lt;1992),1,0)</f>
        <v>0</v>
      </c>
      <c r="D157" s="5">
        <f>IF(AND($A157&gt;=1992,$A157&lt;1995),1,0)</f>
        <v>0</v>
      </c>
      <c r="E157" s="5">
        <f>IF(AND($A157&gt;=1995,$A157&lt;1998),1,0)</f>
        <v>0</v>
      </c>
      <c r="F157" s="5">
        <f>IF(AND($A157&gt;=1998,$A157&lt;2001),1,0)</f>
        <v>0</v>
      </c>
      <c r="G157" s="5">
        <f>IF(AND($A157&gt;=2001,$A157&lt;2004),1,0)</f>
        <v>1</v>
      </c>
      <c r="H157" s="5">
        <f>IF(AND($A157&gt;=2004,$A157&lt;2007),1,0)</f>
        <v>0</v>
      </c>
      <c r="I157" s="5">
        <f>IF(AND($A157&gt;=2007,$A157&lt;2010),1,0)</f>
        <v>0</v>
      </c>
      <c r="J157" s="5">
        <f>IF(AND($A157&gt;=2010,$A157&lt;2013),1,0)</f>
        <v>0</v>
      </c>
      <c r="K157" s="5">
        <f>IF(AND($A157&gt;=2013,$A157&lt;2016),1,0)</f>
        <v>0</v>
      </c>
      <c r="L157" s="5">
        <f>IF(AND($A157&gt;=2016,$A157&lt;2019),1,0)</f>
        <v>0</v>
      </c>
      <c r="M157" s="5">
        <f>IF(AND($A157&gt;=2019,$A157&lt;2022),1,0)</f>
        <v>0</v>
      </c>
      <c r="N157" s="5">
        <f>IF(AND($A157&gt;=2022,$A157&lt;2025),1,0)</f>
        <v>0</v>
      </c>
      <c r="O157" s="5">
        <f>IF(AND($A157&gt;=2025,$A157&lt;2028),1,0)</f>
        <v>0</v>
      </c>
      <c r="P157" s="5">
        <f>($A157-1986)/((2-1)*$D$4)*B157+(1986+2*$D$4-$A157)/((2-1)*$D$4)*C157</f>
        <v>0</v>
      </c>
      <c r="Q157" s="5">
        <f>($A157-1989)/((2-1)*$D$4)*C157+(1989+2*$D$4-$A157)/((2-1)*$D$4)*D157</f>
        <v>0</v>
      </c>
      <c r="R157" s="5">
        <f>($A157-1992)/((2-1)*$D$4)*D157+(1992+2*$D$4-$A157)/((2-1)*$D$4)*E157</f>
        <v>0</v>
      </c>
      <c r="S157" s="5">
        <f>($A157-1995)/((2-1)*$D$4)*E157+(1995+2*$D$4-$A157)/((2-1)*$D$4)*F157</f>
        <v>0</v>
      </c>
      <c r="T157" s="5">
        <f>($A157-1998)/((2-1)*$D$4)*F157+(1998+2*$D$4-$A157)/((2-1)*$D$4)*G157</f>
        <v>0.66666666666666663</v>
      </c>
      <c r="U157" s="5">
        <f>($A157-2001)/((2-1)*$D$4)*G157+(2001+2*$D$4-$A157)/((2-1)*$D$4)*H157</f>
        <v>0.33333333333333331</v>
      </c>
      <c r="V157" s="5">
        <f>($A157-2004)/((2-1)*$D$4)*H157+(2004+2*$D$4-$A157)/((2-1)*$D$4)*I157</f>
        <v>0</v>
      </c>
      <c r="W157" s="5">
        <f>($A157-2007)/((2-1)*$D$4)*I157+(2007+2*$D$4-$A157)/((2-1)*$D$4)*J157</f>
        <v>0</v>
      </c>
      <c r="X157" s="5">
        <f>($A157-2010)/((2-1)*$D$4)*J157+(2010+2*$D$4-$A157)/((2-1)*$D$4)*K157</f>
        <v>0</v>
      </c>
      <c r="Y157" s="5">
        <f>($A157-2013)/((2-1)*$D$4)*K157+(2013+2*$D$4-$A157)/((2-1)*$D$4)*L157</f>
        <v>0</v>
      </c>
      <c r="Z157" s="5">
        <f>($A157-2016)/((2-1)*$D$4)*L157+(2016+2*$D$4-$A157)/((2-1)*$D$4)*M157</f>
        <v>0</v>
      </c>
      <c r="AA157" s="5">
        <f>($A157-2019)/((2-1)*$D$4)*M157+(2019+2*$D$4-$A157)/((2-1)*$D$4)*N157</f>
        <v>0</v>
      </c>
      <c r="AB157" s="5">
        <f>($A157-2022)/((2-1)*$D$4)*N157+(2022+2*$D$4-$A157)/((2-1)*$D$4)*O157</f>
        <v>0</v>
      </c>
      <c r="AC157" s="5">
        <f>($A157-1986)/((3-1)*$D$4)*P157+(1986+3*$D$4-$A157)/((3-1)*$D$4)*Q157</f>
        <v>0</v>
      </c>
      <c r="AD157" s="5">
        <f>($A157-1989)/((3-1)*$D$4)*Q157+(1989+3*$D$4-$A157)/((3-1)*$D$4)*R157</f>
        <v>0</v>
      </c>
      <c r="AE157" s="5">
        <f>($A157-1992)/((3-1)*$D$4)*R157+(1992+3*$D$4-$A157)/((3-1)*$D$4)*S157</f>
        <v>0</v>
      </c>
      <c r="AF157" s="5">
        <f>($A157-1995)/((3-1)*$D$4)*S157+(1995+3*$D$4-$A157)/((3-1)*$D$4)*T157</f>
        <v>0.22222222222222221</v>
      </c>
      <c r="AG157" s="5">
        <f>($A157-1998)/((3-1)*$D$4)*T157+(1998+3*$D$4-$A157)/((3-1)*$D$4)*U157</f>
        <v>0.72222222222222221</v>
      </c>
      <c r="AH157" s="5">
        <f>($A157-2001)/((3-1)*$D$4)*U157+(2001+3*$D$4-$A157)/((3-1)*$D$4)*V157</f>
        <v>0.055555555555555552</v>
      </c>
      <c r="AI157" s="5">
        <f>($A157-2004)/((3-1)*$D$4)*V157+(2004+3*$D$4-$A157)/((3-1)*$D$4)*W157</f>
        <v>0</v>
      </c>
      <c r="AJ157" s="5">
        <f>($A157-2007)/((3-1)*$D$4)*W157+(2007+3*$D$4-$A157)/((3-1)*$D$4)*X157</f>
        <v>0</v>
      </c>
      <c r="AK157" s="5">
        <f>($A157-2010)/((3-1)*$D$4)*X157+(2010+3*$D$4-$A157)/((3-1)*$D$4)*Y157</f>
        <v>0</v>
      </c>
      <c r="AL157" s="5">
        <f>($A157-2013)/((3-1)*$D$4)*Y157+(2013+3*$D$4-$A157)/((3-1)*$D$4)*Z157</f>
        <v>0</v>
      </c>
      <c r="AM157" s="5">
        <f>($A157-2016)/((3-1)*$D$4)*Z157+(2016+3*$D$4-$A157)/((3-1)*$D$4)*AA157</f>
        <v>0</v>
      </c>
      <c r="AN157" s="5">
        <f>($A157-2019)/((3-1)*$D$4)*AA157+(2019+3*$D$4-$A157)/((3-1)*$D$4)*AB157</f>
        <v>0</v>
      </c>
      <c r="AO157" s="5">
        <f>($A157-1986)/((4-1)*$D$4)*AC157+(1986+4*$D$4-$A157)/((4-1)*$D$4)*AD157</f>
        <v>0</v>
      </c>
      <c r="AP157" s="5">
        <f>($A157-1989)/((4-1)*$D$4)*AD157+(1989+4*$D$4-$A157)/((4-1)*$D$4)*AE157</f>
        <v>0</v>
      </c>
      <c r="AQ157" s="5">
        <f>($A157-1992)/((4-1)*$D$4)*AE157+(1992+4*$D$4-$A157)/((4-1)*$D$4)*AF157</f>
        <v>0.049382716049382713</v>
      </c>
      <c r="AR157" s="5">
        <f>($A157-1995)/((4-1)*$D$4)*AF157+(1995+4*$D$4-$A157)/((4-1)*$D$4)*AG157</f>
        <v>0.57407407407407407</v>
      </c>
      <c r="AS157" s="5">
        <f>($A157-1998)/((4-1)*$D$4)*AG157+(1998+4*$D$4-$A157)/((4-1)*$D$4)*AH157</f>
        <v>0.37037037037037035</v>
      </c>
      <c r="AT157" s="5">
        <f>($A157-2001)/((4-1)*$D$4)*AH157+(2001+4*$D$4-$A157)/((4-1)*$D$4)*AI157</f>
        <v>0.0061728395061728392</v>
      </c>
      <c r="AU157" s="5">
        <f>($A157-2004)/((4-1)*$D$4)*AI157+(2004+4*$D$4-$A157)/((4-1)*$D$4)*AJ157</f>
        <v>0</v>
      </c>
      <c r="AV157" s="5">
        <f>($A157-2007)/((4-1)*$D$4)*AJ157+(2007+4*$D$4-$A157)/((4-1)*$D$4)*AK157</f>
        <v>0</v>
      </c>
      <c r="AW157" s="5">
        <f>($A157-2010)/((4-1)*$D$4)*AK157+(2010+4*$D$4-$A157)/((4-1)*$D$4)*AL157</f>
        <v>0</v>
      </c>
      <c r="AX157" s="5">
        <f>($A157-2013)/((4-1)*$D$4)*AL157+(2013+4*$D$4-$A157)/((4-1)*$D$4)*AM157</f>
        <v>0</v>
      </c>
      <c r="AY157" s="5">
        <f>($A157-2016)/((4-1)*$D$4)*AM157+(2016+4*$D$4-$A157)/((4-1)*$D$4)*AN157</f>
        <v>0</v>
      </c>
    </row>
    <row r="158">
      <c r="A158" s="3" t="n">
        <v>2003</v>
      </c>
      <c r="B158" s="5">
        <f>IF(AND($A158&gt;=1986,$A158&lt;1989),1,0)</f>
        <v>0</v>
      </c>
      <c r="C158" s="5">
        <f>IF(AND($A158&gt;=1989,$A158&lt;1992),1,0)</f>
        <v>0</v>
      </c>
      <c r="D158" s="5">
        <f>IF(AND($A158&gt;=1992,$A158&lt;1995),1,0)</f>
        <v>0</v>
      </c>
      <c r="E158" s="5">
        <f>IF(AND($A158&gt;=1995,$A158&lt;1998),1,0)</f>
        <v>0</v>
      </c>
      <c r="F158" s="5">
        <f>IF(AND($A158&gt;=1998,$A158&lt;2001),1,0)</f>
        <v>0</v>
      </c>
      <c r="G158" s="5">
        <f>IF(AND($A158&gt;=2001,$A158&lt;2004),1,0)</f>
        <v>1</v>
      </c>
      <c r="H158" s="5">
        <f>IF(AND($A158&gt;=2004,$A158&lt;2007),1,0)</f>
        <v>0</v>
      </c>
      <c r="I158" s="5">
        <f>IF(AND($A158&gt;=2007,$A158&lt;2010),1,0)</f>
        <v>0</v>
      </c>
      <c r="J158" s="5">
        <f>IF(AND($A158&gt;=2010,$A158&lt;2013),1,0)</f>
        <v>0</v>
      </c>
      <c r="K158" s="5">
        <f>IF(AND($A158&gt;=2013,$A158&lt;2016),1,0)</f>
        <v>0</v>
      </c>
      <c r="L158" s="5">
        <f>IF(AND($A158&gt;=2016,$A158&lt;2019),1,0)</f>
        <v>0</v>
      </c>
      <c r="M158" s="5">
        <f>IF(AND($A158&gt;=2019,$A158&lt;2022),1,0)</f>
        <v>0</v>
      </c>
      <c r="N158" s="5">
        <f>IF(AND($A158&gt;=2022,$A158&lt;2025),1,0)</f>
        <v>0</v>
      </c>
      <c r="O158" s="5">
        <f>IF(AND($A158&gt;=2025,$A158&lt;2028),1,0)</f>
        <v>0</v>
      </c>
      <c r="P158" s="5">
        <f>($A158-1986)/((2-1)*$D$4)*B158+(1986+2*$D$4-$A158)/((2-1)*$D$4)*C158</f>
        <v>0</v>
      </c>
      <c r="Q158" s="5">
        <f>($A158-1989)/((2-1)*$D$4)*C158+(1989+2*$D$4-$A158)/((2-1)*$D$4)*D158</f>
        <v>0</v>
      </c>
      <c r="R158" s="5">
        <f>($A158-1992)/((2-1)*$D$4)*D158+(1992+2*$D$4-$A158)/((2-1)*$D$4)*E158</f>
        <v>0</v>
      </c>
      <c r="S158" s="5">
        <f>($A158-1995)/((2-1)*$D$4)*E158+(1995+2*$D$4-$A158)/((2-1)*$D$4)*F158</f>
        <v>0</v>
      </c>
      <c r="T158" s="5">
        <f>($A158-1998)/((2-1)*$D$4)*F158+(1998+2*$D$4-$A158)/((2-1)*$D$4)*G158</f>
        <v>0.33333333333333331</v>
      </c>
      <c r="U158" s="5">
        <f>($A158-2001)/((2-1)*$D$4)*G158+(2001+2*$D$4-$A158)/((2-1)*$D$4)*H158</f>
        <v>0.66666666666666663</v>
      </c>
      <c r="V158" s="5">
        <f>($A158-2004)/((2-1)*$D$4)*H158+(2004+2*$D$4-$A158)/((2-1)*$D$4)*I158</f>
        <v>0</v>
      </c>
      <c r="W158" s="5">
        <f>($A158-2007)/((2-1)*$D$4)*I158+(2007+2*$D$4-$A158)/((2-1)*$D$4)*J158</f>
        <v>0</v>
      </c>
      <c r="X158" s="5">
        <f>($A158-2010)/((2-1)*$D$4)*J158+(2010+2*$D$4-$A158)/((2-1)*$D$4)*K158</f>
        <v>0</v>
      </c>
      <c r="Y158" s="5">
        <f>($A158-2013)/((2-1)*$D$4)*K158+(2013+2*$D$4-$A158)/((2-1)*$D$4)*L158</f>
        <v>0</v>
      </c>
      <c r="Z158" s="5">
        <f>($A158-2016)/((2-1)*$D$4)*L158+(2016+2*$D$4-$A158)/((2-1)*$D$4)*M158</f>
        <v>0</v>
      </c>
      <c r="AA158" s="5">
        <f>($A158-2019)/((2-1)*$D$4)*M158+(2019+2*$D$4-$A158)/((2-1)*$D$4)*N158</f>
        <v>0</v>
      </c>
      <c r="AB158" s="5">
        <f>($A158-2022)/((2-1)*$D$4)*N158+(2022+2*$D$4-$A158)/((2-1)*$D$4)*O158</f>
        <v>0</v>
      </c>
      <c r="AC158" s="5">
        <f>($A158-1986)/((3-1)*$D$4)*P158+(1986+3*$D$4-$A158)/((3-1)*$D$4)*Q158</f>
        <v>0</v>
      </c>
      <c r="AD158" s="5">
        <f>($A158-1989)/((3-1)*$D$4)*Q158+(1989+3*$D$4-$A158)/((3-1)*$D$4)*R158</f>
        <v>0</v>
      </c>
      <c r="AE158" s="5">
        <f>($A158-1992)/((3-1)*$D$4)*R158+(1992+3*$D$4-$A158)/((3-1)*$D$4)*S158</f>
        <v>0</v>
      </c>
      <c r="AF158" s="5">
        <f>($A158-1995)/((3-1)*$D$4)*S158+(1995+3*$D$4-$A158)/((3-1)*$D$4)*T158</f>
        <v>0.055555555555555552</v>
      </c>
      <c r="AG158" s="5">
        <f>($A158-1998)/((3-1)*$D$4)*T158+(1998+3*$D$4-$A158)/((3-1)*$D$4)*U158</f>
        <v>0.72222222222222221</v>
      </c>
      <c r="AH158" s="5">
        <f>($A158-2001)/((3-1)*$D$4)*U158+(2001+3*$D$4-$A158)/((3-1)*$D$4)*V158</f>
        <v>0.22222222222222221</v>
      </c>
      <c r="AI158" s="5">
        <f>($A158-2004)/((3-1)*$D$4)*V158+(2004+3*$D$4-$A158)/((3-1)*$D$4)*W158</f>
        <v>0</v>
      </c>
      <c r="AJ158" s="5">
        <f>($A158-2007)/((3-1)*$D$4)*W158+(2007+3*$D$4-$A158)/((3-1)*$D$4)*X158</f>
        <v>0</v>
      </c>
      <c r="AK158" s="5">
        <f>($A158-2010)/((3-1)*$D$4)*X158+(2010+3*$D$4-$A158)/((3-1)*$D$4)*Y158</f>
        <v>0</v>
      </c>
      <c r="AL158" s="5">
        <f>($A158-2013)/((3-1)*$D$4)*Y158+(2013+3*$D$4-$A158)/((3-1)*$D$4)*Z158</f>
        <v>0</v>
      </c>
      <c r="AM158" s="5">
        <f>($A158-2016)/((3-1)*$D$4)*Z158+(2016+3*$D$4-$A158)/((3-1)*$D$4)*AA158</f>
        <v>0</v>
      </c>
      <c r="AN158" s="5">
        <f>($A158-2019)/((3-1)*$D$4)*AA158+(2019+3*$D$4-$A158)/((3-1)*$D$4)*AB158</f>
        <v>0</v>
      </c>
      <c r="AO158" s="5">
        <f>($A158-1986)/((4-1)*$D$4)*AC158+(1986+4*$D$4-$A158)/((4-1)*$D$4)*AD158</f>
        <v>0</v>
      </c>
      <c r="AP158" s="5">
        <f>($A158-1989)/((4-1)*$D$4)*AD158+(1989+4*$D$4-$A158)/((4-1)*$D$4)*AE158</f>
        <v>0</v>
      </c>
      <c r="AQ158" s="5">
        <f>($A158-1992)/((4-1)*$D$4)*AE158+(1992+4*$D$4-$A158)/((4-1)*$D$4)*AF158</f>
        <v>0.0061728395061728392</v>
      </c>
      <c r="AR158" s="5">
        <f>($A158-1995)/((4-1)*$D$4)*AF158+(1995+4*$D$4-$A158)/((4-1)*$D$4)*AG158</f>
        <v>0.37037037037037035</v>
      </c>
      <c r="AS158" s="5">
        <f>($A158-1998)/((4-1)*$D$4)*AG158+(1998+4*$D$4-$A158)/((4-1)*$D$4)*AH158</f>
        <v>0.57407407407407407</v>
      </c>
      <c r="AT158" s="5">
        <f>($A158-2001)/((4-1)*$D$4)*AH158+(2001+4*$D$4-$A158)/((4-1)*$D$4)*AI158</f>
        <v>0.049382716049382713</v>
      </c>
      <c r="AU158" s="5">
        <f>($A158-2004)/((4-1)*$D$4)*AI158+(2004+4*$D$4-$A158)/((4-1)*$D$4)*AJ158</f>
        <v>0</v>
      </c>
      <c r="AV158" s="5">
        <f>($A158-2007)/((4-1)*$D$4)*AJ158+(2007+4*$D$4-$A158)/((4-1)*$D$4)*AK158</f>
        <v>0</v>
      </c>
      <c r="AW158" s="5">
        <f>($A158-2010)/((4-1)*$D$4)*AK158+(2010+4*$D$4-$A158)/((4-1)*$D$4)*AL158</f>
        <v>0</v>
      </c>
      <c r="AX158" s="5">
        <f>($A158-2013)/((4-1)*$D$4)*AL158+(2013+4*$D$4-$A158)/((4-1)*$D$4)*AM158</f>
        <v>0</v>
      </c>
      <c r="AY158" s="5">
        <f>($A158-2016)/((4-1)*$D$4)*AM158+(2016+4*$D$4-$A158)/((4-1)*$D$4)*AN158</f>
        <v>0</v>
      </c>
    </row>
    <row r="159">
      <c r="A159" s="3" t="n">
        <v>2004</v>
      </c>
      <c r="B159" s="5">
        <f>IF(AND($A159&gt;=1986,$A159&lt;1989),1,0)</f>
        <v>0</v>
      </c>
      <c r="C159" s="5">
        <f>IF(AND($A159&gt;=1989,$A159&lt;1992),1,0)</f>
        <v>0</v>
      </c>
      <c r="D159" s="5">
        <f>IF(AND($A159&gt;=1992,$A159&lt;1995),1,0)</f>
        <v>0</v>
      </c>
      <c r="E159" s="5">
        <f>IF(AND($A159&gt;=1995,$A159&lt;1998),1,0)</f>
        <v>0</v>
      </c>
      <c r="F159" s="5">
        <f>IF(AND($A159&gt;=1998,$A159&lt;2001),1,0)</f>
        <v>0</v>
      </c>
      <c r="G159" s="5">
        <f>IF(AND($A159&gt;=2001,$A159&lt;2004),1,0)</f>
        <v>0</v>
      </c>
      <c r="H159" s="5">
        <f>IF(AND($A159&gt;=2004,$A159&lt;2007),1,0)</f>
        <v>1</v>
      </c>
      <c r="I159" s="5">
        <f>IF(AND($A159&gt;=2007,$A159&lt;2010),1,0)</f>
        <v>0</v>
      </c>
      <c r="J159" s="5">
        <f>IF(AND($A159&gt;=2010,$A159&lt;2013),1,0)</f>
        <v>0</v>
      </c>
      <c r="K159" s="5">
        <f>IF(AND($A159&gt;=2013,$A159&lt;2016),1,0)</f>
        <v>0</v>
      </c>
      <c r="L159" s="5">
        <f>IF(AND($A159&gt;=2016,$A159&lt;2019),1,0)</f>
        <v>0</v>
      </c>
      <c r="M159" s="5">
        <f>IF(AND($A159&gt;=2019,$A159&lt;2022),1,0)</f>
        <v>0</v>
      </c>
      <c r="N159" s="5">
        <f>IF(AND($A159&gt;=2022,$A159&lt;2025),1,0)</f>
        <v>0</v>
      </c>
      <c r="O159" s="5">
        <f>IF(AND($A159&gt;=2025,$A159&lt;2028),1,0)</f>
        <v>0</v>
      </c>
      <c r="P159" s="5">
        <f>($A159-1986)/((2-1)*$D$4)*B159+(1986+2*$D$4-$A159)/((2-1)*$D$4)*C159</f>
        <v>0</v>
      </c>
      <c r="Q159" s="5">
        <f>($A159-1989)/((2-1)*$D$4)*C159+(1989+2*$D$4-$A159)/((2-1)*$D$4)*D159</f>
        <v>0</v>
      </c>
      <c r="R159" s="5">
        <f>($A159-1992)/((2-1)*$D$4)*D159+(1992+2*$D$4-$A159)/((2-1)*$D$4)*E159</f>
        <v>0</v>
      </c>
      <c r="S159" s="5">
        <f>($A159-1995)/((2-1)*$D$4)*E159+(1995+2*$D$4-$A159)/((2-1)*$D$4)*F159</f>
        <v>0</v>
      </c>
      <c r="T159" s="5">
        <f>($A159-1998)/((2-1)*$D$4)*F159+(1998+2*$D$4-$A159)/((2-1)*$D$4)*G159</f>
        <v>0</v>
      </c>
      <c r="U159" s="5">
        <f>($A159-2001)/((2-1)*$D$4)*G159+(2001+2*$D$4-$A159)/((2-1)*$D$4)*H159</f>
        <v>1</v>
      </c>
      <c r="V159" s="5">
        <f>($A159-2004)/((2-1)*$D$4)*H159+(2004+2*$D$4-$A159)/((2-1)*$D$4)*I159</f>
        <v>0</v>
      </c>
      <c r="W159" s="5">
        <f>($A159-2007)/((2-1)*$D$4)*I159+(2007+2*$D$4-$A159)/((2-1)*$D$4)*J159</f>
        <v>0</v>
      </c>
      <c r="X159" s="5">
        <f>($A159-2010)/((2-1)*$D$4)*J159+(2010+2*$D$4-$A159)/((2-1)*$D$4)*K159</f>
        <v>0</v>
      </c>
      <c r="Y159" s="5">
        <f>($A159-2013)/((2-1)*$D$4)*K159+(2013+2*$D$4-$A159)/((2-1)*$D$4)*L159</f>
        <v>0</v>
      </c>
      <c r="Z159" s="5">
        <f>($A159-2016)/((2-1)*$D$4)*L159+(2016+2*$D$4-$A159)/((2-1)*$D$4)*M159</f>
        <v>0</v>
      </c>
      <c r="AA159" s="5">
        <f>($A159-2019)/((2-1)*$D$4)*M159+(2019+2*$D$4-$A159)/((2-1)*$D$4)*N159</f>
        <v>0</v>
      </c>
      <c r="AB159" s="5">
        <f>($A159-2022)/((2-1)*$D$4)*N159+(2022+2*$D$4-$A159)/((2-1)*$D$4)*O159</f>
        <v>0</v>
      </c>
      <c r="AC159" s="5">
        <f>($A159-1986)/((3-1)*$D$4)*P159+(1986+3*$D$4-$A159)/((3-1)*$D$4)*Q159</f>
        <v>0</v>
      </c>
      <c r="AD159" s="5">
        <f>($A159-1989)/((3-1)*$D$4)*Q159+(1989+3*$D$4-$A159)/((3-1)*$D$4)*R159</f>
        <v>0</v>
      </c>
      <c r="AE159" s="5">
        <f>($A159-1992)/((3-1)*$D$4)*R159+(1992+3*$D$4-$A159)/((3-1)*$D$4)*S159</f>
        <v>0</v>
      </c>
      <c r="AF159" s="5">
        <f>($A159-1995)/((3-1)*$D$4)*S159+(1995+3*$D$4-$A159)/((3-1)*$D$4)*T159</f>
        <v>0</v>
      </c>
      <c r="AG159" s="5">
        <f>($A159-1998)/((3-1)*$D$4)*T159+(1998+3*$D$4-$A159)/((3-1)*$D$4)*U159</f>
        <v>0.5</v>
      </c>
      <c r="AH159" s="5">
        <f>($A159-2001)/((3-1)*$D$4)*U159+(2001+3*$D$4-$A159)/((3-1)*$D$4)*V159</f>
        <v>0.5</v>
      </c>
      <c r="AI159" s="5">
        <f>($A159-2004)/((3-1)*$D$4)*V159+(2004+3*$D$4-$A159)/((3-1)*$D$4)*W159</f>
        <v>0</v>
      </c>
      <c r="AJ159" s="5">
        <f>($A159-2007)/((3-1)*$D$4)*W159+(2007+3*$D$4-$A159)/((3-1)*$D$4)*X159</f>
        <v>0</v>
      </c>
      <c r="AK159" s="5">
        <f>($A159-2010)/((3-1)*$D$4)*X159+(2010+3*$D$4-$A159)/((3-1)*$D$4)*Y159</f>
        <v>0</v>
      </c>
      <c r="AL159" s="5">
        <f>($A159-2013)/((3-1)*$D$4)*Y159+(2013+3*$D$4-$A159)/((3-1)*$D$4)*Z159</f>
        <v>0</v>
      </c>
      <c r="AM159" s="5">
        <f>($A159-2016)/((3-1)*$D$4)*Z159+(2016+3*$D$4-$A159)/((3-1)*$D$4)*AA159</f>
        <v>0</v>
      </c>
      <c r="AN159" s="5">
        <f>($A159-2019)/((3-1)*$D$4)*AA159+(2019+3*$D$4-$A159)/((3-1)*$D$4)*AB159</f>
        <v>0</v>
      </c>
      <c r="AO159" s="5">
        <f>($A159-1986)/((4-1)*$D$4)*AC159+(1986+4*$D$4-$A159)/((4-1)*$D$4)*AD159</f>
        <v>0</v>
      </c>
      <c r="AP159" s="5">
        <f>($A159-1989)/((4-1)*$D$4)*AD159+(1989+4*$D$4-$A159)/((4-1)*$D$4)*AE159</f>
        <v>0</v>
      </c>
      <c r="AQ159" s="5">
        <f>($A159-1992)/((4-1)*$D$4)*AE159+(1992+4*$D$4-$A159)/((4-1)*$D$4)*AF159</f>
        <v>0</v>
      </c>
      <c r="AR159" s="5">
        <f>($A159-1995)/((4-1)*$D$4)*AF159+(1995+4*$D$4-$A159)/((4-1)*$D$4)*AG159</f>
        <v>0.16666666666666666</v>
      </c>
      <c r="AS159" s="5">
        <f>($A159-1998)/((4-1)*$D$4)*AG159+(1998+4*$D$4-$A159)/((4-1)*$D$4)*AH159</f>
        <v>0.66666666666666663</v>
      </c>
      <c r="AT159" s="5">
        <f>($A159-2001)/((4-1)*$D$4)*AH159+(2001+4*$D$4-$A159)/((4-1)*$D$4)*AI159</f>
        <v>0.16666666666666666</v>
      </c>
      <c r="AU159" s="5">
        <f>($A159-2004)/((4-1)*$D$4)*AI159+(2004+4*$D$4-$A159)/((4-1)*$D$4)*AJ159</f>
        <v>0</v>
      </c>
      <c r="AV159" s="5">
        <f>($A159-2007)/((4-1)*$D$4)*AJ159+(2007+4*$D$4-$A159)/((4-1)*$D$4)*AK159</f>
        <v>0</v>
      </c>
      <c r="AW159" s="5">
        <f>($A159-2010)/((4-1)*$D$4)*AK159+(2010+4*$D$4-$A159)/((4-1)*$D$4)*AL159</f>
        <v>0</v>
      </c>
      <c r="AX159" s="5">
        <f>($A159-2013)/((4-1)*$D$4)*AL159+(2013+4*$D$4-$A159)/((4-1)*$D$4)*AM159</f>
        <v>0</v>
      </c>
      <c r="AY159" s="5">
        <f>($A159-2016)/((4-1)*$D$4)*AM159+(2016+4*$D$4-$A159)/((4-1)*$D$4)*AN159</f>
        <v>0</v>
      </c>
    </row>
    <row r="160">
      <c r="A160" s="3" t="n">
        <v>2005</v>
      </c>
      <c r="B160" s="5">
        <f>IF(AND($A160&gt;=1986,$A160&lt;1989),1,0)</f>
        <v>0</v>
      </c>
      <c r="C160" s="5">
        <f>IF(AND($A160&gt;=1989,$A160&lt;1992),1,0)</f>
        <v>0</v>
      </c>
      <c r="D160" s="5">
        <f>IF(AND($A160&gt;=1992,$A160&lt;1995),1,0)</f>
        <v>0</v>
      </c>
      <c r="E160" s="5">
        <f>IF(AND($A160&gt;=1995,$A160&lt;1998),1,0)</f>
        <v>0</v>
      </c>
      <c r="F160" s="5">
        <f>IF(AND($A160&gt;=1998,$A160&lt;2001),1,0)</f>
        <v>0</v>
      </c>
      <c r="G160" s="5">
        <f>IF(AND($A160&gt;=2001,$A160&lt;2004),1,0)</f>
        <v>0</v>
      </c>
      <c r="H160" s="5">
        <f>IF(AND($A160&gt;=2004,$A160&lt;2007),1,0)</f>
        <v>1</v>
      </c>
      <c r="I160" s="5">
        <f>IF(AND($A160&gt;=2007,$A160&lt;2010),1,0)</f>
        <v>0</v>
      </c>
      <c r="J160" s="5">
        <f>IF(AND($A160&gt;=2010,$A160&lt;2013),1,0)</f>
        <v>0</v>
      </c>
      <c r="K160" s="5">
        <f>IF(AND($A160&gt;=2013,$A160&lt;2016),1,0)</f>
        <v>0</v>
      </c>
      <c r="L160" s="5">
        <f>IF(AND($A160&gt;=2016,$A160&lt;2019),1,0)</f>
        <v>0</v>
      </c>
      <c r="M160" s="5">
        <f>IF(AND($A160&gt;=2019,$A160&lt;2022),1,0)</f>
        <v>0</v>
      </c>
      <c r="N160" s="5">
        <f>IF(AND($A160&gt;=2022,$A160&lt;2025),1,0)</f>
        <v>0</v>
      </c>
      <c r="O160" s="5">
        <f>IF(AND($A160&gt;=2025,$A160&lt;2028),1,0)</f>
        <v>0</v>
      </c>
      <c r="P160" s="5">
        <f>($A160-1986)/((2-1)*$D$4)*B160+(1986+2*$D$4-$A160)/((2-1)*$D$4)*C160</f>
        <v>0</v>
      </c>
      <c r="Q160" s="5">
        <f>($A160-1989)/((2-1)*$D$4)*C160+(1989+2*$D$4-$A160)/((2-1)*$D$4)*D160</f>
        <v>0</v>
      </c>
      <c r="R160" s="5">
        <f>($A160-1992)/((2-1)*$D$4)*D160+(1992+2*$D$4-$A160)/((2-1)*$D$4)*E160</f>
        <v>0</v>
      </c>
      <c r="S160" s="5">
        <f>($A160-1995)/((2-1)*$D$4)*E160+(1995+2*$D$4-$A160)/((2-1)*$D$4)*F160</f>
        <v>0</v>
      </c>
      <c r="T160" s="5">
        <f>($A160-1998)/((2-1)*$D$4)*F160+(1998+2*$D$4-$A160)/((2-1)*$D$4)*G160</f>
        <v>0</v>
      </c>
      <c r="U160" s="5">
        <f>($A160-2001)/((2-1)*$D$4)*G160+(2001+2*$D$4-$A160)/((2-1)*$D$4)*H160</f>
        <v>0.66666666666666663</v>
      </c>
      <c r="V160" s="5">
        <f>($A160-2004)/((2-1)*$D$4)*H160+(2004+2*$D$4-$A160)/((2-1)*$D$4)*I160</f>
        <v>0.33333333333333331</v>
      </c>
      <c r="W160" s="5">
        <f>($A160-2007)/((2-1)*$D$4)*I160+(2007+2*$D$4-$A160)/((2-1)*$D$4)*J160</f>
        <v>0</v>
      </c>
      <c r="X160" s="5">
        <f>($A160-2010)/((2-1)*$D$4)*J160+(2010+2*$D$4-$A160)/((2-1)*$D$4)*K160</f>
        <v>0</v>
      </c>
      <c r="Y160" s="5">
        <f>($A160-2013)/((2-1)*$D$4)*K160+(2013+2*$D$4-$A160)/((2-1)*$D$4)*L160</f>
        <v>0</v>
      </c>
      <c r="Z160" s="5">
        <f>($A160-2016)/((2-1)*$D$4)*L160+(2016+2*$D$4-$A160)/((2-1)*$D$4)*M160</f>
        <v>0</v>
      </c>
      <c r="AA160" s="5">
        <f>($A160-2019)/((2-1)*$D$4)*M160+(2019+2*$D$4-$A160)/((2-1)*$D$4)*N160</f>
        <v>0</v>
      </c>
      <c r="AB160" s="5">
        <f>($A160-2022)/((2-1)*$D$4)*N160+(2022+2*$D$4-$A160)/((2-1)*$D$4)*O160</f>
        <v>0</v>
      </c>
      <c r="AC160" s="5">
        <f>($A160-1986)/((3-1)*$D$4)*P160+(1986+3*$D$4-$A160)/((3-1)*$D$4)*Q160</f>
        <v>0</v>
      </c>
      <c r="AD160" s="5">
        <f>($A160-1989)/((3-1)*$D$4)*Q160+(1989+3*$D$4-$A160)/((3-1)*$D$4)*R160</f>
        <v>0</v>
      </c>
      <c r="AE160" s="5">
        <f>($A160-1992)/((3-1)*$D$4)*R160+(1992+3*$D$4-$A160)/((3-1)*$D$4)*S160</f>
        <v>0</v>
      </c>
      <c r="AF160" s="5">
        <f>($A160-1995)/((3-1)*$D$4)*S160+(1995+3*$D$4-$A160)/((3-1)*$D$4)*T160</f>
        <v>0</v>
      </c>
      <c r="AG160" s="5">
        <f>($A160-1998)/((3-1)*$D$4)*T160+(1998+3*$D$4-$A160)/((3-1)*$D$4)*U160</f>
        <v>0.22222222222222221</v>
      </c>
      <c r="AH160" s="5">
        <f>($A160-2001)/((3-1)*$D$4)*U160+(2001+3*$D$4-$A160)/((3-1)*$D$4)*V160</f>
        <v>0.72222222222222221</v>
      </c>
      <c r="AI160" s="5">
        <f>($A160-2004)/((3-1)*$D$4)*V160+(2004+3*$D$4-$A160)/((3-1)*$D$4)*W160</f>
        <v>0.055555555555555552</v>
      </c>
      <c r="AJ160" s="5">
        <f>($A160-2007)/((3-1)*$D$4)*W160+(2007+3*$D$4-$A160)/((3-1)*$D$4)*X160</f>
        <v>0</v>
      </c>
      <c r="AK160" s="5">
        <f>($A160-2010)/((3-1)*$D$4)*X160+(2010+3*$D$4-$A160)/((3-1)*$D$4)*Y160</f>
        <v>0</v>
      </c>
      <c r="AL160" s="5">
        <f>($A160-2013)/((3-1)*$D$4)*Y160+(2013+3*$D$4-$A160)/((3-1)*$D$4)*Z160</f>
        <v>0</v>
      </c>
      <c r="AM160" s="5">
        <f>($A160-2016)/((3-1)*$D$4)*Z160+(2016+3*$D$4-$A160)/((3-1)*$D$4)*AA160</f>
        <v>0</v>
      </c>
      <c r="AN160" s="5">
        <f>($A160-2019)/((3-1)*$D$4)*AA160+(2019+3*$D$4-$A160)/((3-1)*$D$4)*AB160</f>
        <v>0</v>
      </c>
      <c r="AO160" s="5">
        <f>($A160-1986)/((4-1)*$D$4)*AC160+(1986+4*$D$4-$A160)/((4-1)*$D$4)*AD160</f>
        <v>0</v>
      </c>
      <c r="AP160" s="5">
        <f>($A160-1989)/((4-1)*$D$4)*AD160+(1989+4*$D$4-$A160)/((4-1)*$D$4)*AE160</f>
        <v>0</v>
      </c>
      <c r="AQ160" s="5">
        <f>($A160-1992)/((4-1)*$D$4)*AE160+(1992+4*$D$4-$A160)/((4-1)*$D$4)*AF160</f>
        <v>0</v>
      </c>
      <c r="AR160" s="5">
        <f>($A160-1995)/((4-1)*$D$4)*AF160+(1995+4*$D$4-$A160)/((4-1)*$D$4)*AG160</f>
        <v>0.049382716049382713</v>
      </c>
      <c r="AS160" s="5">
        <f>($A160-1998)/((4-1)*$D$4)*AG160+(1998+4*$D$4-$A160)/((4-1)*$D$4)*AH160</f>
        <v>0.57407407407407407</v>
      </c>
      <c r="AT160" s="5">
        <f>($A160-2001)/((4-1)*$D$4)*AH160+(2001+4*$D$4-$A160)/((4-1)*$D$4)*AI160</f>
        <v>0.37037037037037035</v>
      </c>
      <c r="AU160" s="5">
        <f>($A160-2004)/((4-1)*$D$4)*AI160+(2004+4*$D$4-$A160)/((4-1)*$D$4)*AJ160</f>
        <v>0.0061728395061728392</v>
      </c>
      <c r="AV160" s="5">
        <f>($A160-2007)/((4-1)*$D$4)*AJ160+(2007+4*$D$4-$A160)/((4-1)*$D$4)*AK160</f>
        <v>0</v>
      </c>
      <c r="AW160" s="5">
        <f>($A160-2010)/((4-1)*$D$4)*AK160+(2010+4*$D$4-$A160)/((4-1)*$D$4)*AL160</f>
        <v>0</v>
      </c>
      <c r="AX160" s="5">
        <f>($A160-2013)/((4-1)*$D$4)*AL160+(2013+4*$D$4-$A160)/((4-1)*$D$4)*AM160</f>
        <v>0</v>
      </c>
      <c r="AY160" s="5">
        <f>($A160-2016)/((4-1)*$D$4)*AM160+(2016+4*$D$4-$A160)/((4-1)*$D$4)*AN160</f>
        <v>0</v>
      </c>
    </row>
    <row r="161">
      <c r="A161" s="3" t="n">
        <v>2006</v>
      </c>
      <c r="B161" s="5">
        <f>IF(AND($A161&gt;=1986,$A161&lt;1989),1,0)</f>
        <v>0</v>
      </c>
      <c r="C161" s="5">
        <f>IF(AND($A161&gt;=1989,$A161&lt;1992),1,0)</f>
        <v>0</v>
      </c>
      <c r="D161" s="5">
        <f>IF(AND($A161&gt;=1992,$A161&lt;1995),1,0)</f>
        <v>0</v>
      </c>
      <c r="E161" s="5">
        <f>IF(AND($A161&gt;=1995,$A161&lt;1998),1,0)</f>
        <v>0</v>
      </c>
      <c r="F161" s="5">
        <f>IF(AND($A161&gt;=1998,$A161&lt;2001),1,0)</f>
        <v>0</v>
      </c>
      <c r="G161" s="5">
        <f>IF(AND($A161&gt;=2001,$A161&lt;2004),1,0)</f>
        <v>0</v>
      </c>
      <c r="H161" s="5">
        <f>IF(AND($A161&gt;=2004,$A161&lt;2007),1,0)</f>
        <v>1</v>
      </c>
      <c r="I161" s="5">
        <f>IF(AND($A161&gt;=2007,$A161&lt;2010),1,0)</f>
        <v>0</v>
      </c>
      <c r="J161" s="5">
        <f>IF(AND($A161&gt;=2010,$A161&lt;2013),1,0)</f>
        <v>0</v>
      </c>
      <c r="K161" s="5">
        <f>IF(AND($A161&gt;=2013,$A161&lt;2016),1,0)</f>
        <v>0</v>
      </c>
      <c r="L161" s="5">
        <f>IF(AND($A161&gt;=2016,$A161&lt;2019),1,0)</f>
        <v>0</v>
      </c>
      <c r="M161" s="5">
        <f>IF(AND($A161&gt;=2019,$A161&lt;2022),1,0)</f>
        <v>0</v>
      </c>
      <c r="N161" s="5">
        <f>IF(AND($A161&gt;=2022,$A161&lt;2025),1,0)</f>
        <v>0</v>
      </c>
      <c r="O161" s="5">
        <f>IF(AND($A161&gt;=2025,$A161&lt;2028),1,0)</f>
        <v>0</v>
      </c>
      <c r="P161" s="5">
        <f>($A161-1986)/((2-1)*$D$4)*B161+(1986+2*$D$4-$A161)/((2-1)*$D$4)*C161</f>
        <v>0</v>
      </c>
      <c r="Q161" s="5">
        <f>($A161-1989)/((2-1)*$D$4)*C161+(1989+2*$D$4-$A161)/((2-1)*$D$4)*D161</f>
        <v>0</v>
      </c>
      <c r="R161" s="5">
        <f>($A161-1992)/((2-1)*$D$4)*D161+(1992+2*$D$4-$A161)/((2-1)*$D$4)*E161</f>
        <v>0</v>
      </c>
      <c r="S161" s="5">
        <f>($A161-1995)/((2-1)*$D$4)*E161+(1995+2*$D$4-$A161)/((2-1)*$D$4)*F161</f>
        <v>0</v>
      </c>
      <c r="T161" s="5">
        <f>($A161-1998)/((2-1)*$D$4)*F161+(1998+2*$D$4-$A161)/((2-1)*$D$4)*G161</f>
        <v>0</v>
      </c>
      <c r="U161" s="5">
        <f>($A161-2001)/((2-1)*$D$4)*G161+(2001+2*$D$4-$A161)/((2-1)*$D$4)*H161</f>
        <v>0.33333333333333331</v>
      </c>
      <c r="V161" s="5">
        <f>($A161-2004)/((2-1)*$D$4)*H161+(2004+2*$D$4-$A161)/((2-1)*$D$4)*I161</f>
        <v>0.66666666666666663</v>
      </c>
      <c r="W161" s="5">
        <f>($A161-2007)/((2-1)*$D$4)*I161+(2007+2*$D$4-$A161)/((2-1)*$D$4)*J161</f>
        <v>0</v>
      </c>
      <c r="X161" s="5">
        <f>($A161-2010)/((2-1)*$D$4)*J161+(2010+2*$D$4-$A161)/((2-1)*$D$4)*K161</f>
        <v>0</v>
      </c>
      <c r="Y161" s="5">
        <f>($A161-2013)/((2-1)*$D$4)*K161+(2013+2*$D$4-$A161)/((2-1)*$D$4)*L161</f>
        <v>0</v>
      </c>
      <c r="Z161" s="5">
        <f>($A161-2016)/((2-1)*$D$4)*L161+(2016+2*$D$4-$A161)/((2-1)*$D$4)*M161</f>
        <v>0</v>
      </c>
      <c r="AA161" s="5">
        <f>($A161-2019)/((2-1)*$D$4)*M161+(2019+2*$D$4-$A161)/((2-1)*$D$4)*N161</f>
        <v>0</v>
      </c>
      <c r="AB161" s="5">
        <f>($A161-2022)/((2-1)*$D$4)*N161+(2022+2*$D$4-$A161)/((2-1)*$D$4)*O161</f>
        <v>0</v>
      </c>
      <c r="AC161" s="5">
        <f>($A161-1986)/((3-1)*$D$4)*P161+(1986+3*$D$4-$A161)/((3-1)*$D$4)*Q161</f>
        <v>0</v>
      </c>
      <c r="AD161" s="5">
        <f>($A161-1989)/((3-1)*$D$4)*Q161+(1989+3*$D$4-$A161)/((3-1)*$D$4)*R161</f>
        <v>0</v>
      </c>
      <c r="AE161" s="5">
        <f>($A161-1992)/((3-1)*$D$4)*R161+(1992+3*$D$4-$A161)/((3-1)*$D$4)*S161</f>
        <v>0</v>
      </c>
      <c r="AF161" s="5">
        <f>($A161-1995)/((3-1)*$D$4)*S161+(1995+3*$D$4-$A161)/((3-1)*$D$4)*T161</f>
        <v>0</v>
      </c>
      <c r="AG161" s="5">
        <f>($A161-1998)/((3-1)*$D$4)*T161+(1998+3*$D$4-$A161)/((3-1)*$D$4)*U161</f>
        <v>0.055555555555555552</v>
      </c>
      <c r="AH161" s="5">
        <f>($A161-2001)/((3-1)*$D$4)*U161+(2001+3*$D$4-$A161)/((3-1)*$D$4)*V161</f>
        <v>0.72222222222222221</v>
      </c>
      <c r="AI161" s="5">
        <f>($A161-2004)/((3-1)*$D$4)*V161+(2004+3*$D$4-$A161)/((3-1)*$D$4)*W161</f>
        <v>0.22222222222222221</v>
      </c>
      <c r="AJ161" s="5">
        <f>($A161-2007)/((3-1)*$D$4)*W161+(2007+3*$D$4-$A161)/((3-1)*$D$4)*X161</f>
        <v>0</v>
      </c>
      <c r="AK161" s="5">
        <f>($A161-2010)/((3-1)*$D$4)*X161+(2010+3*$D$4-$A161)/((3-1)*$D$4)*Y161</f>
        <v>0</v>
      </c>
      <c r="AL161" s="5">
        <f>($A161-2013)/((3-1)*$D$4)*Y161+(2013+3*$D$4-$A161)/((3-1)*$D$4)*Z161</f>
        <v>0</v>
      </c>
      <c r="AM161" s="5">
        <f>($A161-2016)/((3-1)*$D$4)*Z161+(2016+3*$D$4-$A161)/((3-1)*$D$4)*AA161</f>
        <v>0</v>
      </c>
      <c r="AN161" s="5">
        <f>($A161-2019)/((3-1)*$D$4)*AA161+(2019+3*$D$4-$A161)/((3-1)*$D$4)*AB161</f>
        <v>0</v>
      </c>
      <c r="AO161" s="5">
        <f>($A161-1986)/((4-1)*$D$4)*AC161+(1986+4*$D$4-$A161)/((4-1)*$D$4)*AD161</f>
        <v>0</v>
      </c>
      <c r="AP161" s="5">
        <f>($A161-1989)/((4-1)*$D$4)*AD161+(1989+4*$D$4-$A161)/((4-1)*$D$4)*AE161</f>
        <v>0</v>
      </c>
      <c r="AQ161" s="5">
        <f>($A161-1992)/((4-1)*$D$4)*AE161+(1992+4*$D$4-$A161)/((4-1)*$D$4)*AF161</f>
        <v>0</v>
      </c>
      <c r="AR161" s="5">
        <f>($A161-1995)/((4-1)*$D$4)*AF161+(1995+4*$D$4-$A161)/((4-1)*$D$4)*AG161</f>
        <v>0.0061728395061728392</v>
      </c>
      <c r="AS161" s="5">
        <f>($A161-1998)/((4-1)*$D$4)*AG161+(1998+4*$D$4-$A161)/((4-1)*$D$4)*AH161</f>
        <v>0.37037037037037035</v>
      </c>
      <c r="AT161" s="5">
        <f>($A161-2001)/((4-1)*$D$4)*AH161+(2001+4*$D$4-$A161)/((4-1)*$D$4)*AI161</f>
        <v>0.57407407407407407</v>
      </c>
      <c r="AU161" s="5">
        <f>($A161-2004)/((4-1)*$D$4)*AI161+(2004+4*$D$4-$A161)/((4-1)*$D$4)*AJ161</f>
        <v>0.049382716049382713</v>
      </c>
      <c r="AV161" s="5">
        <f>($A161-2007)/((4-1)*$D$4)*AJ161+(2007+4*$D$4-$A161)/((4-1)*$D$4)*AK161</f>
        <v>0</v>
      </c>
      <c r="AW161" s="5">
        <f>($A161-2010)/((4-1)*$D$4)*AK161+(2010+4*$D$4-$A161)/((4-1)*$D$4)*AL161</f>
        <v>0</v>
      </c>
      <c r="AX161" s="5">
        <f>($A161-2013)/((4-1)*$D$4)*AL161+(2013+4*$D$4-$A161)/((4-1)*$D$4)*AM161</f>
        <v>0</v>
      </c>
      <c r="AY161" s="5">
        <f>($A161-2016)/((4-1)*$D$4)*AM161+(2016+4*$D$4-$A161)/((4-1)*$D$4)*AN161</f>
        <v>0</v>
      </c>
    </row>
    <row r="162">
      <c r="A162" s="3" t="n">
        <v>2007</v>
      </c>
      <c r="B162" s="5">
        <f>IF(AND($A162&gt;=1986,$A162&lt;1989),1,0)</f>
        <v>0</v>
      </c>
      <c r="C162" s="5">
        <f>IF(AND($A162&gt;=1989,$A162&lt;1992),1,0)</f>
        <v>0</v>
      </c>
      <c r="D162" s="5">
        <f>IF(AND($A162&gt;=1992,$A162&lt;1995),1,0)</f>
        <v>0</v>
      </c>
      <c r="E162" s="5">
        <f>IF(AND($A162&gt;=1995,$A162&lt;1998),1,0)</f>
        <v>0</v>
      </c>
      <c r="F162" s="5">
        <f>IF(AND($A162&gt;=1998,$A162&lt;2001),1,0)</f>
        <v>0</v>
      </c>
      <c r="G162" s="5">
        <f>IF(AND($A162&gt;=2001,$A162&lt;2004),1,0)</f>
        <v>0</v>
      </c>
      <c r="H162" s="5">
        <f>IF(AND($A162&gt;=2004,$A162&lt;2007),1,0)</f>
        <v>0</v>
      </c>
      <c r="I162" s="5">
        <f>IF(AND($A162&gt;=2007,$A162&lt;2010),1,0)</f>
        <v>1</v>
      </c>
      <c r="J162" s="5">
        <f>IF(AND($A162&gt;=2010,$A162&lt;2013),1,0)</f>
        <v>0</v>
      </c>
      <c r="K162" s="5">
        <f>IF(AND($A162&gt;=2013,$A162&lt;2016),1,0)</f>
        <v>0</v>
      </c>
      <c r="L162" s="5">
        <f>IF(AND($A162&gt;=2016,$A162&lt;2019),1,0)</f>
        <v>0</v>
      </c>
      <c r="M162" s="5">
        <f>IF(AND($A162&gt;=2019,$A162&lt;2022),1,0)</f>
        <v>0</v>
      </c>
      <c r="N162" s="5">
        <f>IF(AND($A162&gt;=2022,$A162&lt;2025),1,0)</f>
        <v>0</v>
      </c>
      <c r="O162" s="5">
        <f>IF(AND($A162&gt;=2025,$A162&lt;2028),1,0)</f>
        <v>0</v>
      </c>
      <c r="P162" s="5">
        <f>($A162-1986)/((2-1)*$D$4)*B162+(1986+2*$D$4-$A162)/((2-1)*$D$4)*C162</f>
        <v>0</v>
      </c>
      <c r="Q162" s="5">
        <f>($A162-1989)/((2-1)*$D$4)*C162+(1989+2*$D$4-$A162)/((2-1)*$D$4)*D162</f>
        <v>0</v>
      </c>
      <c r="R162" s="5">
        <f>($A162-1992)/((2-1)*$D$4)*D162+(1992+2*$D$4-$A162)/((2-1)*$D$4)*E162</f>
        <v>0</v>
      </c>
      <c r="S162" s="5">
        <f>($A162-1995)/((2-1)*$D$4)*E162+(1995+2*$D$4-$A162)/((2-1)*$D$4)*F162</f>
        <v>0</v>
      </c>
      <c r="T162" s="5">
        <f>($A162-1998)/((2-1)*$D$4)*F162+(1998+2*$D$4-$A162)/((2-1)*$D$4)*G162</f>
        <v>0</v>
      </c>
      <c r="U162" s="5">
        <f>($A162-2001)/((2-1)*$D$4)*G162+(2001+2*$D$4-$A162)/((2-1)*$D$4)*H162</f>
        <v>0</v>
      </c>
      <c r="V162" s="5">
        <f>($A162-2004)/((2-1)*$D$4)*H162+(2004+2*$D$4-$A162)/((2-1)*$D$4)*I162</f>
        <v>1</v>
      </c>
      <c r="W162" s="5">
        <f>($A162-2007)/((2-1)*$D$4)*I162+(2007+2*$D$4-$A162)/((2-1)*$D$4)*J162</f>
        <v>0</v>
      </c>
      <c r="X162" s="5">
        <f>($A162-2010)/((2-1)*$D$4)*J162+(2010+2*$D$4-$A162)/((2-1)*$D$4)*K162</f>
        <v>0</v>
      </c>
      <c r="Y162" s="5">
        <f>($A162-2013)/((2-1)*$D$4)*K162+(2013+2*$D$4-$A162)/((2-1)*$D$4)*L162</f>
        <v>0</v>
      </c>
      <c r="Z162" s="5">
        <f>($A162-2016)/((2-1)*$D$4)*L162+(2016+2*$D$4-$A162)/((2-1)*$D$4)*M162</f>
        <v>0</v>
      </c>
      <c r="AA162" s="5">
        <f>($A162-2019)/((2-1)*$D$4)*M162+(2019+2*$D$4-$A162)/((2-1)*$D$4)*N162</f>
        <v>0</v>
      </c>
      <c r="AB162" s="5">
        <f>($A162-2022)/((2-1)*$D$4)*N162+(2022+2*$D$4-$A162)/((2-1)*$D$4)*O162</f>
        <v>0</v>
      </c>
      <c r="AC162" s="5">
        <f>($A162-1986)/((3-1)*$D$4)*P162+(1986+3*$D$4-$A162)/((3-1)*$D$4)*Q162</f>
        <v>0</v>
      </c>
      <c r="AD162" s="5">
        <f>($A162-1989)/((3-1)*$D$4)*Q162+(1989+3*$D$4-$A162)/((3-1)*$D$4)*R162</f>
        <v>0</v>
      </c>
      <c r="AE162" s="5">
        <f>($A162-1992)/((3-1)*$D$4)*R162+(1992+3*$D$4-$A162)/((3-1)*$D$4)*S162</f>
        <v>0</v>
      </c>
      <c r="AF162" s="5">
        <f>($A162-1995)/((3-1)*$D$4)*S162+(1995+3*$D$4-$A162)/((3-1)*$D$4)*T162</f>
        <v>0</v>
      </c>
      <c r="AG162" s="5">
        <f>($A162-1998)/((3-1)*$D$4)*T162+(1998+3*$D$4-$A162)/((3-1)*$D$4)*U162</f>
        <v>0</v>
      </c>
      <c r="AH162" s="5">
        <f>($A162-2001)/((3-1)*$D$4)*U162+(2001+3*$D$4-$A162)/((3-1)*$D$4)*V162</f>
        <v>0.5</v>
      </c>
      <c r="AI162" s="5">
        <f>($A162-2004)/((3-1)*$D$4)*V162+(2004+3*$D$4-$A162)/((3-1)*$D$4)*W162</f>
        <v>0.5</v>
      </c>
      <c r="AJ162" s="5">
        <f>($A162-2007)/((3-1)*$D$4)*W162+(2007+3*$D$4-$A162)/((3-1)*$D$4)*X162</f>
        <v>0</v>
      </c>
      <c r="AK162" s="5">
        <f>($A162-2010)/((3-1)*$D$4)*X162+(2010+3*$D$4-$A162)/((3-1)*$D$4)*Y162</f>
        <v>0</v>
      </c>
      <c r="AL162" s="5">
        <f>($A162-2013)/((3-1)*$D$4)*Y162+(2013+3*$D$4-$A162)/((3-1)*$D$4)*Z162</f>
        <v>0</v>
      </c>
      <c r="AM162" s="5">
        <f>($A162-2016)/((3-1)*$D$4)*Z162+(2016+3*$D$4-$A162)/((3-1)*$D$4)*AA162</f>
        <v>0</v>
      </c>
      <c r="AN162" s="5">
        <f>($A162-2019)/((3-1)*$D$4)*AA162+(2019+3*$D$4-$A162)/((3-1)*$D$4)*AB162</f>
        <v>0</v>
      </c>
      <c r="AO162" s="5">
        <f>($A162-1986)/((4-1)*$D$4)*AC162+(1986+4*$D$4-$A162)/((4-1)*$D$4)*AD162</f>
        <v>0</v>
      </c>
      <c r="AP162" s="5">
        <f>($A162-1989)/((4-1)*$D$4)*AD162+(1989+4*$D$4-$A162)/((4-1)*$D$4)*AE162</f>
        <v>0</v>
      </c>
      <c r="AQ162" s="5">
        <f>($A162-1992)/((4-1)*$D$4)*AE162+(1992+4*$D$4-$A162)/((4-1)*$D$4)*AF162</f>
        <v>0</v>
      </c>
      <c r="AR162" s="5">
        <f>($A162-1995)/((4-1)*$D$4)*AF162+(1995+4*$D$4-$A162)/((4-1)*$D$4)*AG162</f>
        <v>0</v>
      </c>
      <c r="AS162" s="5">
        <f>($A162-1998)/((4-1)*$D$4)*AG162+(1998+4*$D$4-$A162)/((4-1)*$D$4)*AH162</f>
        <v>0.16666666666666666</v>
      </c>
      <c r="AT162" s="5">
        <f>($A162-2001)/((4-1)*$D$4)*AH162+(2001+4*$D$4-$A162)/((4-1)*$D$4)*AI162</f>
        <v>0.66666666666666663</v>
      </c>
      <c r="AU162" s="5">
        <f>($A162-2004)/((4-1)*$D$4)*AI162+(2004+4*$D$4-$A162)/((4-1)*$D$4)*AJ162</f>
        <v>0.16666666666666666</v>
      </c>
      <c r="AV162" s="5">
        <f>($A162-2007)/((4-1)*$D$4)*AJ162+(2007+4*$D$4-$A162)/((4-1)*$D$4)*AK162</f>
        <v>0</v>
      </c>
      <c r="AW162" s="5">
        <f>($A162-2010)/((4-1)*$D$4)*AK162+(2010+4*$D$4-$A162)/((4-1)*$D$4)*AL162</f>
        <v>0</v>
      </c>
      <c r="AX162" s="5">
        <f>($A162-2013)/((4-1)*$D$4)*AL162+(2013+4*$D$4-$A162)/((4-1)*$D$4)*AM162</f>
        <v>0</v>
      </c>
      <c r="AY162" s="5">
        <f>($A162-2016)/((4-1)*$D$4)*AM162+(2016+4*$D$4-$A162)/((4-1)*$D$4)*AN162</f>
        <v>0</v>
      </c>
    </row>
    <row r="163">
      <c r="A163" s="3" t="n">
        <v>2008</v>
      </c>
      <c r="B163" s="5">
        <f>IF(AND($A163&gt;=1986,$A163&lt;1989),1,0)</f>
        <v>0</v>
      </c>
      <c r="C163" s="5">
        <f>IF(AND($A163&gt;=1989,$A163&lt;1992),1,0)</f>
        <v>0</v>
      </c>
      <c r="D163" s="5">
        <f>IF(AND($A163&gt;=1992,$A163&lt;1995),1,0)</f>
        <v>0</v>
      </c>
      <c r="E163" s="5">
        <f>IF(AND($A163&gt;=1995,$A163&lt;1998),1,0)</f>
        <v>0</v>
      </c>
      <c r="F163" s="5">
        <f>IF(AND($A163&gt;=1998,$A163&lt;2001),1,0)</f>
        <v>0</v>
      </c>
      <c r="G163" s="5">
        <f>IF(AND($A163&gt;=2001,$A163&lt;2004),1,0)</f>
        <v>0</v>
      </c>
      <c r="H163" s="5">
        <f>IF(AND($A163&gt;=2004,$A163&lt;2007),1,0)</f>
        <v>0</v>
      </c>
      <c r="I163" s="5">
        <f>IF(AND($A163&gt;=2007,$A163&lt;2010),1,0)</f>
        <v>1</v>
      </c>
      <c r="J163" s="5">
        <f>IF(AND($A163&gt;=2010,$A163&lt;2013),1,0)</f>
        <v>0</v>
      </c>
      <c r="K163" s="5">
        <f>IF(AND($A163&gt;=2013,$A163&lt;2016),1,0)</f>
        <v>0</v>
      </c>
      <c r="L163" s="5">
        <f>IF(AND($A163&gt;=2016,$A163&lt;2019),1,0)</f>
        <v>0</v>
      </c>
      <c r="M163" s="5">
        <f>IF(AND($A163&gt;=2019,$A163&lt;2022),1,0)</f>
        <v>0</v>
      </c>
      <c r="N163" s="5">
        <f>IF(AND($A163&gt;=2022,$A163&lt;2025),1,0)</f>
        <v>0</v>
      </c>
      <c r="O163" s="5">
        <f>IF(AND($A163&gt;=2025,$A163&lt;2028),1,0)</f>
        <v>0</v>
      </c>
      <c r="P163" s="5">
        <f>($A163-1986)/((2-1)*$D$4)*B163+(1986+2*$D$4-$A163)/((2-1)*$D$4)*C163</f>
        <v>0</v>
      </c>
      <c r="Q163" s="5">
        <f>($A163-1989)/((2-1)*$D$4)*C163+(1989+2*$D$4-$A163)/((2-1)*$D$4)*D163</f>
        <v>0</v>
      </c>
      <c r="R163" s="5">
        <f>($A163-1992)/((2-1)*$D$4)*D163+(1992+2*$D$4-$A163)/((2-1)*$D$4)*E163</f>
        <v>0</v>
      </c>
      <c r="S163" s="5">
        <f>($A163-1995)/((2-1)*$D$4)*E163+(1995+2*$D$4-$A163)/((2-1)*$D$4)*F163</f>
        <v>0</v>
      </c>
      <c r="T163" s="5">
        <f>($A163-1998)/((2-1)*$D$4)*F163+(1998+2*$D$4-$A163)/((2-1)*$D$4)*G163</f>
        <v>0</v>
      </c>
      <c r="U163" s="5">
        <f>($A163-2001)/((2-1)*$D$4)*G163+(2001+2*$D$4-$A163)/((2-1)*$D$4)*H163</f>
        <v>0</v>
      </c>
      <c r="V163" s="5">
        <f>($A163-2004)/((2-1)*$D$4)*H163+(2004+2*$D$4-$A163)/((2-1)*$D$4)*I163</f>
        <v>0.66666666666666663</v>
      </c>
      <c r="W163" s="5">
        <f>($A163-2007)/((2-1)*$D$4)*I163+(2007+2*$D$4-$A163)/((2-1)*$D$4)*J163</f>
        <v>0.33333333333333331</v>
      </c>
      <c r="X163" s="5">
        <f>($A163-2010)/((2-1)*$D$4)*J163+(2010+2*$D$4-$A163)/((2-1)*$D$4)*K163</f>
        <v>0</v>
      </c>
      <c r="Y163" s="5">
        <f>($A163-2013)/((2-1)*$D$4)*K163+(2013+2*$D$4-$A163)/((2-1)*$D$4)*L163</f>
        <v>0</v>
      </c>
      <c r="Z163" s="5">
        <f>($A163-2016)/((2-1)*$D$4)*L163+(2016+2*$D$4-$A163)/((2-1)*$D$4)*M163</f>
        <v>0</v>
      </c>
      <c r="AA163" s="5">
        <f>($A163-2019)/((2-1)*$D$4)*M163+(2019+2*$D$4-$A163)/((2-1)*$D$4)*N163</f>
        <v>0</v>
      </c>
      <c r="AB163" s="5">
        <f>($A163-2022)/((2-1)*$D$4)*N163+(2022+2*$D$4-$A163)/((2-1)*$D$4)*O163</f>
        <v>0</v>
      </c>
      <c r="AC163" s="5">
        <f>($A163-1986)/((3-1)*$D$4)*P163+(1986+3*$D$4-$A163)/((3-1)*$D$4)*Q163</f>
        <v>0</v>
      </c>
      <c r="AD163" s="5">
        <f>($A163-1989)/((3-1)*$D$4)*Q163+(1989+3*$D$4-$A163)/((3-1)*$D$4)*R163</f>
        <v>0</v>
      </c>
      <c r="AE163" s="5">
        <f>($A163-1992)/((3-1)*$D$4)*R163+(1992+3*$D$4-$A163)/((3-1)*$D$4)*S163</f>
        <v>0</v>
      </c>
      <c r="AF163" s="5">
        <f>($A163-1995)/((3-1)*$D$4)*S163+(1995+3*$D$4-$A163)/((3-1)*$D$4)*T163</f>
        <v>0</v>
      </c>
      <c r="AG163" s="5">
        <f>($A163-1998)/((3-1)*$D$4)*T163+(1998+3*$D$4-$A163)/((3-1)*$D$4)*U163</f>
        <v>0</v>
      </c>
      <c r="AH163" s="5">
        <f>($A163-2001)/((3-1)*$D$4)*U163+(2001+3*$D$4-$A163)/((3-1)*$D$4)*V163</f>
        <v>0.22222222222222221</v>
      </c>
      <c r="AI163" s="5">
        <f>($A163-2004)/((3-1)*$D$4)*V163+(2004+3*$D$4-$A163)/((3-1)*$D$4)*W163</f>
        <v>0.72222222222222221</v>
      </c>
      <c r="AJ163" s="5">
        <f>($A163-2007)/((3-1)*$D$4)*W163+(2007+3*$D$4-$A163)/((3-1)*$D$4)*X163</f>
        <v>0.055555555555555552</v>
      </c>
      <c r="AK163" s="5">
        <f>($A163-2010)/((3-1)*$D$4)*X163+(2010+3*$D$4-$A163)/((3-1)*$D$4)*Y163</f>
        <v>0</v>
      </c>
      <c r="AL163" s="5">
        <f>($A163-2013)/((3-1)*$D$4)*Y163+(2013+3*$D$4-$A163)/((3-1)*$D$4)*Z163</f>
        <v>0</v>
      </c>
      <c r="AM163" s="5">
        <f>($A163-2016)/((3-1)*$D$4)*Z163+(2016+3*$D$4-$A163)/((3-1)*$D$4)*AA163</f>
        <v>0</v>
      </c>
      <c r="AN163" s="5">
        <f>($A163-2019)/((3-1)*$D$4)*AA163+(2019+3*$D$4-$A163)/((3-1)*$D$4)*AB163</f>
        <v>0</v>
      </c>
      <c r="AO163" s="5">
        <f>($A163-1986)/((4-1)*$D$4)*AC163+(1986+4*$D$4-$A163)/((4-1)*$D$4)*AD163</f>
        <v>0</v>
      </c>
      <c r="AP163" s="5">
        <f>($A163-1989)/((4-1)*$D$4)*AD163+(1989+4*$D$4-$A163)/((4-1)*$D$4)*AE163</f>
        <v>0</v>
      </c>
      <c r="AQ163" s="5">
        <f>($A163-1992)/((4-1)*$D$4)*AE163+(1992+4*$D$4-$A163)/((4-1)*$D$4)*AF163</f>
        <v>0</v>
      </c>
      <c r="AR163" s="5">
        <f>($A163-1995)/((4-1)*$D$4)*AF163+(1995+4*$D$4-$A163)/((4-1)*$D$4)*AG163</f>
        <v>0</v>
      </c>
      <c r="AS163" s="5">
        <f>($A163-1998)/((4-1)*$D$4)*AG163+(1998+4*$D$4-$A163)/((4-1)*$D$4)*AH163</f>
        <v>0.049382716049382713</v>
      </c>
      <c r="AT163" s="5">
        <f>($A163-2001)/((4-1)*$D$4)*AH163+(2001+4*$D$4-$A163)/((4-1)*$D$4)*AI163</f>
        <v>0.57407407407407407</v>
      </c>
      <c r="AU163" s="5">
        <f>($A163-2004)/((4-1)*$D$4)*AI163+(2004+4*$D$4-$A163)/((4-1)*$D$4)*AJ163</f>
        <v>0.37037037037037035</v>
      </c>
      <c r="AV163" s="5">
        <f>($A163-2007)/((4-1)*$D$4)*AJ163+(2007+4*$D$4-$A163)/((4-1)*$D$4)*AK163</f>
        <v>0.0061728395061728392</v>
      </c>
      <c r="AW163" s="5">
        <f>($A163-2010)/((4-1)*$D$4)*AK163+(2010+4*$D$4-$A163)/((4-1)*$D$4)*AL163</f>
        <v>0</v>
      </c>
      <c r="AX163" s="5">
        <f>($A163-2013)/((4-1)*$D$4)*AL163+(2013+4*$D$4-$A163)/((4-1)*$D$4)*AM163</f>
        <v>0</v>
      </c>
      <c r="AY163" s="5">
        <f>($A163-2016)/((4-1)*$D$4)*AM163+(2016+4*$D$4-$A163)/((4-1)*$D$4)*AN163</f>
        <v>0</v>
      </c>
    </row>
    <row r="164">
      <c r="A164" s="3" t="n">
        <v>2009</v>
      </c>
      <c r="B164" s="5">
        <f>IF(AND($A164&gt;=1986,$A164&lt;1989),1,0)</f>
        <v>0</v>
      </c>
      <c r="C164" s="5">
        <f>IF(AND($A164&gt;=1989,$A164&lt;1992),1,0)</f>
        <v>0</v>
      </c>
      <c r="D164" s="5">
        <f>IF(AND($A164&gt;=1992,$A164&lt;1995),1,0)</f>
        <v>0</v>
      </c>
      <c r="E164" s="5">
        <f>IF(AND($A164&gt;=1995,$A164&lt;1998),1,0)</f>
        <v>0</v>
      </c>
      <c r="F164" s="5">
        <f>IF(AND($A164&gt;=1998,$A164&lt;2001),1,0)</f>
        <v>0</v>
      </c>
      <c r="G164" s="5">
        <f>IF(AND($A164&gt;=2001,$A164&lt;2004),1,0)</f>
        <v>0</v>
      </c>
      <c r="H164" s="5">
        <f>IF(AND($A164&gt;=2004,$A164&lt;2007),1,0)</f>
        <v>0</v>
      </c>
      <c r="I164" s="5">
        <f>IF(AND($A164&gt;=2007,$A164&lt;2010),1,0)</f>
        <v>1</v>
      </c>
      <c r="J164" s="5">
        <f>IF(AND($A164&gt;=2010,$A164&lt;2013),1,0)</f>
        <v>0</v>
      </c>
      <c r="K164" s="5">
        <f>IF(AND($A164&gt;=2013,$A164&lt;2016),1,0)</f>
        <v>0</v>
      </c>
      <c r="L164" s="5">
        <f>IF(AND($A164&gt;=2016,$A164&lt;2019),1,0)</f>
        <v>0</v>
      </c>
      <c r="M164" s="5">
        <f>IF(AND($A164&gt;=2019,$A164&lt;2022),1,0)</f>
        <v>0</v>
      </c>
      <c r="N164" s="5">
        <f>IF(AND($A164&gt;=2022,$A164&lt;2025),1,0)</f>
        <v>0</v>
      </c>
      <c r="O164" s="5">
        <f>IF(AND($A164&gt;=2025,$A164&lt;2028),1,0)</f>
        <v>0</v>
      </c>
      <c r="P164" s="5">
        <f>($A164-1986)/((2-1)*$D$4)*B164+(1986+2*$D$4-$A164)/((2-1)*$D$4)*C164</f>
        <v>0</v>
      </c>
      <c r="Q164" s="5">
        <f>($A164-1989)/((2-1)*$D$4)*C164+(1989+2*$D$4-$A164)/((2-1)*$D$4)*D164</f>
        <v>0</v>
      </c>
      <c r="R164" s="5">
        <f>($A164-1992)/((2-1)*$D$4)*D164+(1992+2*$D$4-$A164)/((2-1)*$D$4)*E164</f>
        <v>0</v>
      </c>
      <c r="S164" s="5">
        <f>($A164-1995)/((2-1)*$D$4)*E164+(1995+2*$D$4-$A164)/((2-1)*$D$4)*F164</f>
        <v>0</v>
      </c>
      <c r="T164" s="5">
        <f>($A164-1998)/((2-1)*$D$4)*F164+(1998+2*$D$4-$A164)/((2-1)*$D$4)*G164</f>
        <v>0</v>
      </c>
      <c r="U164" s="5">
        <f>($A164-2001)/((2-1)*$D$4)*G164+(2001+2*$D$4-$A164)/((2-1)*$D$4)*H164</f>
        <v>0</v>
      </c>
      <c r="V164" s="5">
        <f>($A164-2004)/((2-1)*$D$4)*H164+(2004+2*$D$4-$A164)/((2-1)*$D$4)*I164</f>
        <v>0.33333333333333331</v>
      </c>
      <c r="W164" s="5">
        <f>($A164-2007)/((2-1)*$D$4)*I164+(2007+2*$D$4-$A164)/((2-1)*$D$4)*J164</f>
        <v>0.66666666666666663</v>
      </c>
      <c r="X164" s="5">
        <f>($A164-2010)/((2-1)*$D$4)*J164+(2010+2*$D$4-$A164)/((2-1)*$D$4)*K164</f>
        <v>0</v>
      </c>
      <c r="Y164" s="5">
        <f>($A164-2013)/((2-1)*$D$4)*K164+(2013+2*$D$4-$A164)/((2-1)*$D$4)*L164</f>
        <v>0</v>
      </c>
      <c r="Z164" s="5">
        <f>($A164-2016)/((2-1)*$D$4)*L164+(2016+2*$D$4-$A164)/((2-1)*$D$4)*M164</f>
        <v>0</v>
      </c>
      <c r="AA164" s="5">
        <f>($A164-2019)/((2-1)*$D$4)*M164+(2019+2*$D$4-$A164)/((2-1)*$D$4)*N164</f>
        <v>0</v>
      </c>
      <c r="AB164" s="5">
        <f>($A164-2022)/((2-1)*$D$4)*N164+(2022+2*$D$4-$A164)/((2-1)*$D$4)*O164</f>
        <v>0</v>
      </c>
      <c r="AC164" s="5">
        <f>($A164-1986)/((3-1)*$D$4)*P164+(1986+3*$D$4-$A164)/((3-1)*$D$4)*Q164</f>
        <v>0</v>
      </c>
      <c r="AD164" s="5">
        <f>($A164-1989)/((3-1)*$D$4)*Q164+(1989+3*$D$4-$A164)/((3-1)*$D$4)*R164</f>
        <v>0</v>
      </c>
      <c r="AE164" s="5">
        <f>($A164-1992)/((3-1)*$D$4)*R164+(1992+3*$D$4-$A164)/((3-1)*$D$4)*S164</f>
        <v>0</v>
      </c>
      <c r="AF164" s="5">
        <f>($A164-1995)/((3-1)*$D$4)*S164+(1995+3*$D$4-$A164)/((3-1)*$D$4)*T164</f>
        <v>0</v>
      </c>
      <c r="AG164" s="5">
        <f>($A164-1998)/((3-1)*$D$4)*T164+(1998+3*$D$4-$A164)/((3-1)*$D$4)*U164</f>
        <v>0</v>
      </c>
      <c r="AH164" s="5">
        <f>($A164-2001)/((3-1)*$D$4)*U164+(2001+3*$D$4-$A164)/((3-1)*$D$4)*V164</f>
        <v>0.055555555555555552</v>
      </c>
      <c r="AI164" s="5">
        <f>($A164-2004)/((3-1)*$D$4)*V164+(2004+3*$D$4-$A164)/((3-1)*$D$4)*W164</f>
        <v>0.72222222222222221</v>
      </c>
      <c r="AJ164" s="5">
        <f>($A164-2007)/((3-1)*$D$4)*W164+(2007+3*$D$4-$A164)/((3-1)*$D$4)*X164</f>
        <v>0.22222222222222221</v>
      </c>
      <c r="AK164" s="5">
        <f>($A164-2010)/((3-1)*$D$4)*X164+(2010+3*$D$4-$A164)/((3-1)*$D$4)*Y164</f>
        <v>0</v>
      </c>
      <c r="AL164" s="5">
        <f>($A164-2013)/((3-1)*$D$4)*Y164+(2013+3*$D$4-$A164)/((3-1)*$D$4)*Z164</f>
        <v>0</v>
      </c>
      <c r="AM164" s="5">
        <f>($A164-2016)/((3-1)*$D$4)*Z164+(2016+3*$D$4-$A164)/((3-1)*$D$4)*AA164</f>
        <v>0</v>
      </c>
      <c r="AN164" s="5">
        <f>($A164-2019)/((3-1)*$D$4)*AA164+(2019+3*$D$4-$A164)/((3-1)*$D$4)*AB164</f>
        <v>0</v>
      </c>
      <c r="AO164" s="5">
        <f>($A164-1986)/((4-1)*$D$4)*AC164+(1986+4*$D$4-$A164)/((4-1)*$D$4)*AD164</f>
        <v>0</v>
      </c>
      <c r="AP164" s="5">
        <f>($A164-1989)/((4-1)*$D$4)*AD164+(1989+4*$D$4-$A164)/((4-1)*$D$4)*AE164</f>
        <v>0</v>
      </c>
      <c r="AQ164" s="5">
        <f>($A164-1992)/((4-1)*$D$4)*AE164+(1992+4*$D$4-$A164)/((4-1)*$D$4)*AF164</f>
        <v>0</v>
      </c>
      <c r="AR164" s="5">
        <f>($A164-1995)/((4-1)*$D$4)*AF164+(1995+4*$D$4-$A164)/((4-1)*$D$4)*AG164</f>
        <v>0</v>
      </c>
      <c r="AS164" s="5">
        <f>($A164-1998)/((4-1)*$D$4)*AG164+(1998+4*$D$4-$A164)/((4-1)*$D$4)*AH164</f>
        <v>0.0061728395061728392</v>
      </c>
      <c r="AT164" s="5">
        <f>($A164-2001)/((4-1)*$D$4)*AH164+(2001+4*$D$4-$A164)/((4-1)*$D$4)*AI164</f>
        <v>0.37037037037037035</v>
      </c>
      <c r="AU164" s="5">
        <f>($A164-2004)/((4-1)*$D$4)*AI164+(2004+4*$D$4-$A164)/((4-1)*$D$4)*AJ164</f>
        <v>0.57407407407407407</v>
      </c>
      <c r="AV164" s="5">
        <f>($A164-2007)/((4-1)*$D$4)*AJ164+(2007+4*$D$4-$A164)/((4-1)*$D$4)*AK164</f>
        <v>0.049382716049382713</v>
      </c>
      <c r="AW164" s="5">
        <f>($A164-2010)/((4-1)*$D$4)*AK164+(2010+4*$D$4-$A164)/((4-1)*$D$4)*AL164</f>
        <v>0</v>
      </c>
      <c r="AX164" s="5">
        <f>($A164-2013)/((4-1)*$D$4)*AL164+(2013+4*$D$4-$A164)/((4-1)*$D$4)*AM164</f>
        <v>0</v>
      </c>
      <c r="AY164" s="5">
        <f>($A164-2016)/((4-1)*$D$4)*AM164+(2016+4*$D$4-$A164)/((4-1)*$D$4)*AN164</f>
        <v>0</v>
      </c>
    </row>
    <row r="165">
      <c r="A165" s="3" t="n">
        <v>2010</v>
      </c>
      <c r="B165" s="5">
        <f>IF(AND($A165&gt;=1986,$A165&lt;1989),1,0)</f>
        <v>0</v>
      </c>
      <c r="C165" s="5">
        <f>IF(AND($A165&gt;=1989,$A165&lt;1992),1,0)</f>
        <v>0</v>
      </c>
      <c r="D165" s="5">
        <f>IF(AND($A165&gt;=1992,$A165&lt;1995),1,0)</f>
        <v>0</v>
      </c>
      <c r="E165" s="5">
        <f>IF(AND($A165&gt;=1995,$A165&lt;1998),1,0)</f>
        <v>0</v>
      </c>
      <c r="F165" s="5">
        <f>IF(AND($A165&gt;=1998,$A165&lt;2001),1,0)</f>
        <v>0</v>
      </c>
      <c r="G165" s="5">
        <f>IF(AND($A165&gt;=2001,$A165&lt;2004),1,0)</f>
        <v>0</v>
      </c>
      <c r="H165" s="5">
        <f>IF(AND($A165&gt;=2004,$A165&lt;2007),1,0)</f>
        <v>0</v>
      </c>
      <c r="I165" s="5">
        <f>IF(AND($A165&gt;=2007,$A165&lt;2010),1,0)</f>
        <v>0</v>
      </c>
      <c r="J165" s="5">
        <f>IF(AND($A165&gt;=2010,$A165&lt;2013),1,0)</f>
        <v>1</v>
      </c>
      <c r="K165" s="5">
        <f>IF(AND($A165&gt;=2013,$A165&lt;2016),1,0)</f>
        <v>0</v>
      </c>
      <c r="L165" s="5">
        <f>IF(AND($A165&gt;=2016,$A165&lt;2019),1,0)</f>
        <v>0</v>
      </c>
      <c r="M165" s="5">
        <f>IF(AND($A165&gt;=2019,$A165&lt;2022),1,0)</f>
        <v>0</v>
      </c>
      <c r="N165" s="5">
        <f>IF(AND($A165&gt;=2022,$A165&lt;2025),1,0)</f>
        <v>0</v>
      </c>
      <c r="O165" s="5">
        <f>IF(AND($A165&gt;=2025,$A165&lt;2028),1,0)</f>
        <v>0</v>
      </c>
      <c r="P165" s="5">
        <f>($A165-1986)/((2-1)*$D$4)*B165+(1986+2*$D$4-$A165)/((2-1)*$D$4)*C165</f>
        <v>0</v>
      </c>
      <c r="Q165" s="5">
        <f>($A165-1989)/((2-1)*$D$4)*C165+(1989+2*$D$4-$A165)/((2-1)*$D$4)*D165</f>
        <v>0</v>
      </c>
      <c r="R165" s="5">
        <f>($A165-1992)/((2-1)*$D$4)*D165+(1992+2*$D$4-$A165)/((2-1)*$D$4)*E165</f>
        <v>0</v>
      </c>
      <c r="S165" s="5">
        <f>($A165-1995)/((2-1)*$D$4)*E165+(1995+2*$D$4-$A165)/((2-1)*$D$4)*F165</f>
        <v>0</v>
      </c>
      <c r="T165" s="5">
        <f>($A165-1998)/((2-1)*$D$4)*F165+(1998+2*$D$4-$A165)/((2-1)*$D$4)*G165</f>
        <v>0</v>
      </c>
      <c r="U165" s="5">
        <f>($A165-2001)/((2-1)*$D$4)*G165+(2001+2*$D$4-$A165)/((2-1)*$D$4)*H165</f>
        <v>0</v>
      </c>
      <c r="V165" s="5">
        <f>($A165-2004)/((2-1)*$D$4)*H165+(2004+2*$D$4-$A165)/((2-1)*$D$4)*I165</f>
        <v>0</v>
      </c>
      <c r="W165" s="5">
        <f>($A165-2007)/((2-1)*$D$4)*I165+(2007+2*$D$4-$A165)/((2-1)*$D$4)*J165</f>
        <v>1</v>
      </c>
      <c r="X165" s="5">
        <f>($A165-2010)/((2-1)*$D$4)*J165+(2010+2*$D$4-$A165)/((2-1)*$D$4)*K165</f>
        <v>0</v>
      </c>
      <c r="Y165" s="5">
        <f>($A165-2013)/((2-1)*$D$4)*K165+(2013+2*$D$4-$A165)/((2-1)*$D$4)*L165</f>
        <v>0</v>
      </c>
      <c r="Z165" s="5">
        <f>($A165-2016)/((2-1)*$D$4)*L165+(2016+2*$D$4-$A165)/((2-1)*$D$4)*M165</f>
        <v>0</v>
      </c>
      <c r="AA165" s="5">
        <f>($A165-2019)/((2-1)*$D$4)*M165+(2019+2*$D$4-$A165)/((2-1)*$D$4)*N165</f>
        <v>0</v>
      </c>
      <c r="AB165" s="5">
        <f>($A165-2022)/((2-1)*$D$4)*N165+(2022+2*$D$4-$A165)/((2-1)*$D$4)*O165</f>
        <v>0</v>
      </c>
      <c r="AC165" s="5">
        <f>($A165-1986)/((3-1)*$D$4)*P165+(1986+3*$D$4-$A165)/((3-1)*$D$4)*Q165</f>
        <v>0</v>
      </c>
      <c r="AD165" s="5">
        <f>($A165-1989)/((3-1)*$D$4)*Q165+(1989+3*$D$4-$A165)/((3-1)*$D$4)*R165</f>
        <v>0</v>
      </c>
      <c r="AE165" s="5">
        <f>($A165-1992)/((3-1)*$D$4)*R165+(1992+3*$D$4-$A165)/((3-1)*$D$4)*S165</f>
        <v>0</v>
      </c>
      <c r="AF165" s="5">
        <f>($A165-1995)/((3-1)*$D$4)*S165+(1995+3*$D$4-$A165)/((3-1)*$D$4)*T165</f>
        <v>0</v>
      </c>
      <c r="AG165" s="5">
        <f>($A165-1998)/((3-1)*$D$4)*T165+(1998+3*$D$4-$A165)/((3-1)*$D$4)*U165</f>
        <v>0</v>
      </c>
      <c r="AH165" s="5">
        <f>($A165-2001)/((3-1)*$D$4)*U165+(2001+3*$D$4-$A165)/((3-1)*$D$4)*V165</f>
        <v>0</v>
      </c>
      <c r="AI165" s="5">
        <f>($A165-2004)/((3-1)*$D$4)*V165+(2004+3*$D$4-$A165)/((3-1)*$D$4)*W165</f>
        <v>0.5</v>
      </c>
      <c r="AJ165" s="5">
        <f>($A165-2007)/((3-1)*$D$4)*W165+(2007+3*$D$4-$A165)/((3-1)*$D$4)*X165</f>
        <v>0.5</v>
      </c>
      <c r="AK165" s="5">
        <f>($A165-2010)/((3-1)*$D$4)*X165+(2010+3*$D$4-$A165)/((3-1)*$D$4)*Y165</f>
        <v>0</v>
      </c>
      <c r="AL165" s="5">
        <f>($A165-2013)/((3-1)*$D$4)*Y165+(2013+3*$D$4-$A165)/((3-1)*$D$4)*Z165</f>
        <v>0</v>
      </c>
      <c r="AM165" s="5">
        <f>($A165-2016)/((3-1)*$D$4)*Z165+(2016+3*$D$4-$A165)/((3-1)*$D$4)*AA165</f>
        <v>0</v>
      </c>
      <c r="AN165" s="5">
        <f>($A165-2019)/((3-1)*$D$4)*AA165+(2019+3*$D$4-$A165)/((3-1)*$D$4)*AB165</f>
        <v>0</v>
      </c>
      <c r="AO165" s="5">
        <f>($A165-1986)/((4-1)*$D$4)*AC165+(1986+4*$D$4-$A165)/((4-1)*$D$4)*AD165</f>
        <v>0</v>
      </c>
      <c r="AP165" s="5">
        <f>($A165-1989)/((4-1)*$D$4)*AD165+(1989+4*$D$4-$A165)/((4-1)*$D$4)*AE165</f>
        <v>0</v>
      </c>
      <c r="AQ165" s="5">
        <f>($A165-1992)/((4-1)*$D$4)*AE165+(1992+4*$D$4-$A165)/((4-1)*$D$4)*AF165</f>
        <v>0</v>
      </c>
      <c r="AR165" s="5">
        <f>($A165-1995)/((4-1)*$D$4)*AF165+(1995+4*$D$4-$A165)/((4-1)*$D$4)*AG165</f>
        <v>0</v>
      </c>
      <c r="AS165" s="5">
        <f>($A165-1998)/((4-1)*$D$4)*AG165+(1998+4*$D$4-$A165)/((4-1)*$D$4)*AH165</f>
        <v>0</v>
      </c>
      <c r="AT165" s="5">
        <f>($A165-2001)/((4-1)*$D$4)*AH165+(2001+4*$D$4-$A165)/((4-1)*$D$4)*AI165</f>
        <v>0.16666666666666666</v>
      </c>
      <c r="AU165" s="5">
        <f>($A165-2004)/((4-1)*$D$4)*AI165+(2004+4*$D$4-$A165)/((4-1)*$D$4)*AJ165</f>
        <v>0.66666666666666663</v>
      </c>
      <c r="AV165" s="5">
        <f>($A165-2007)/((4-1)*$D$4)*AJ165+(2007+4*$D$4-$A165)/((4-1)*$D$4)*AK165</f>
        <v>0.16666666666666666</v>
      </c>
      <c r="AW165" s="5">
        <f>($A165-2010)/((4-1)*$D$4)*AK165+(2010+4*$D$4-$A165)/((4-1)*$D$4)*AL165</f>
        <v>0</v>
      </c>
      <c r="AX165" s="5">
        <f>($A165-2013)/((4-1)*$D$4)*AL165+(2013+4*$D$4-$A165)/((4-1)*$D$4)*AM165</f>
        <v>0</v>
      </c>
      <c r="AY165" s="5">
        <f>($A165-2016)/((4-1)*$D$4)*AM165+(2016+4*$D$4-$A165)/((4-1)*$D$4)*AN165</f>
        <v>0</v>
      </c>
    </row>
    <row r="166">
      <c r="A166" s="3" t="n">
        <v>2011</v>
      </c>
      <c r="B166" s="5">
        <f>IF(AND($A166&gt;=1986,$A166&lt;1989),1,0)</f>
        <v>0</v>
      </c>
      <c r="C166" s="5">
        <f>IF(AND($A166&gt;=1989,$A166&lt;1992),1,0)</f>
        <v>0</v>
      </c>
      <c r="D166" s="5">
        <f>IF(AND($A166&gt;=1992,$A166&lt;1995),1,0)</f>
        <v>0</v>
      </c>
      <c r="E166" s="5">
        <f>IF(AND($A166&gt;=1995,$A166&lt;1998),1,0)</f>
        <v>0</v>
      </c>
      <c r="F166" s="5">
        <f>IF(AND($A166&gt;=1998,$A166&lt;2001),1,0)</f>
        <v>0</v>
      </c>
      <c r="G166" s="5">
        <f>IF(AND($A166&gt;=2001,$A166&lt;2004),1,0)</f>
        <v>0</v>
      </c>
      <c r="H166" s="5">
        <f>IF(AND($A166&gt;=2004,$A166&lt;2007),1,0)</f>
        <v>0</v>
      </c>
      <c r="I166" s="5">
        <f>IF(AND($A166&gt;=2007,$A166&lt;2010),1,0)</f>
        <v>0</v>
      </c>
      <c r="J166" s="5">
        <f>IF(AND($A166&gt;=2010,$A166&lt;2013),1,0)</f>
        <v>1</v>
      </c>
      <c r="K166" s="5">
        <f>IF(AND($A166&gt;=2013,$A166&lt;2016),1,0)</f>
        <v>0</v>
      </c>
      <c r="L166" s="5">
        <f>IF(AND($A166&gt;=2016,$A166&lt;2019),1,0)</f>
        <v>0</v>
      </c>
      <c r="M166" s="5">
        <f>IF(AND($A166&gt;=2019,$A166&lt;2022),1,0)</f>
        <v>0</v>
      </c>
      <c r="N166" s="5">
        <f>IF(AND($A166&gt;=2022,$A166&lt;2025),1,0)</f>
        <v>0</v>
      </c>
      <c r="O166" s="5">
        <f>IF(AND($A166&gt;=2025,$A166&lt;2028),1,0)</f>
        <v>0</v>
      </c>
      <c r="P166" s="5">
        <f>($A166-1986)/((2-1)*$D$4)*B166+(1986+2*$D$4-$A166)/((2-1)*$D$4)*C166</f>
        <v>0</v>
      </c>
      <c r="Q166" s="5">
        <f>($A166-1989)/((2-1)*$D$4)*C166+(1989+2*$D$4-$A166)/((2-1)*$D$4)*D166</f>
        <v>0</v>
      </c>
      <c r="R166" s="5">
        <f>($A166-1992)/((2-1)*$D$4)*D166+(1992+2*$D$4-$A166)/((2-1)*$D$4)*E166</f>
        <v>0</v>
      </c>
      <c r="S166" s="5">
        <f>($A166-1995)/((2-1)*$D$4)*E166+(1995+2*$D$4-$A166)/((2-1)*$D$4)*F166</f>
        <v>0</v>
      </c>
      <c r="T166" s="5">
        <f>($A166-1998)/((2-1)*$D$4)*F166+(1998+2*$D$4-$A166)/((2-1)*$D$4)*G166</f>
        <v>0</v>
      </c>
      <c r="U166" s="5">
        <f>($A166-2001)/((2-1)*$D$4)*G166+(2001+2*$D$4-$A166)/((2-1)*$D$4)*H166</f>
        <v>0</v>
      </c>
      <c r="V166" s="5">
        <f>($A166-2004)/((2-1)*$D$4)*H166+(2004+2*$D$4-$A166)/((2-1)*$D$4)*I166</f>
        <v>0</v>
      </c>
      <c r="W166" s="5">
        <f>($A166-2007)/((2-1)*$D$4)*I166+(2007+2*$D$4-$A166)/((2-1)*$D$4)*J166</f>
        <v>0.66666666666666663</v>
      </c>
      <c r="X166" s="5">
        <f>($A166-2010)/((2-1)*$D$4)*J166+(2010+2*$D$4-$A166)/((2-1)*$D$4)*K166</f>
        <v>0.33333333333333331</v>
      </c>
      <c r="Y166" s="5">
        <f>($A166-2013)/((2-1)*$D$4)*K166+(2013+2*$D$4-$A166)/((2-1)*$D$4)*L166</f>
        <v>0</v>
      </c>
      <c r="Z166" s="5">
        <f>($A166-2016)/((2-1)*$D$4)*L166+(2016+2*$D$4-$A166)/((2-1)*$D$4)*M166</f>
        <v>0</v>
      </c>
      <c r="AA166" s="5">
        <f>($A166-2019)/((2-1)*$D$4)*M166+(2019+2*$D$4-$A166)/((2-1)*$D$4)*N166</f>
        <v>0</v>
      </c>
      <c r="AB166" s="5">
        <f>($A166-2022)/((2-1)*$D$4)*N166+(2022+2*$D$4-$A166)/((2-1)*$D$4)*O166</f>
        <v>0</v>
      </c>
      <c r="AC166" s="5">
        <f>($A166-1986)/((3-1)*$D$4)*P166+(1986+3*$D$4-$A166)/((3-1)*$D$4)*Q166</f>
        <v>0</v>
      </c>
      <c r="AD166" s="5">
        <f>($A166-1989)/((3-1)*$D$4)*Q166+(1989+3*$D$4-$A166)/((3-1)*$D$4)*R166</f>
        <v>0</v>
      </c>
      <c r="AE166" s="5">
        <f>($A166-1992)/((3-1)*$D$4)*R166+(1992+3*$D$4-$A166)/((3-1)*$D$4)*S166</f>
        <v>0</v>
      </c>
      <c r="AF166" s="5">
        <f>($A166-1995)/((3-1)*$D$4)*S166+(1995+3*$D$4-$A166)/((3-1)*$D$4)*T166</f>
        <v>0</v>
      </c>
      <c r="AG166" s="5">
        <f>($A166-1998)/((3-1)*$D$4)*T166+(1998+3*$D$4-$A166)/((3-1)*$D$4)*U166</f>
        <v>0</v>
      </c>
      <c r="AH166" s="5">
        <f>($A166-2001)/((3-1)*$D$4)*U166+(2001+3*$D$4-$A166)/((3-1)*$D$4)*V166</f>
        <v>0</v>
      </c>
      <c r="AI166" s="5">
        <f>($A166-2004)/((3-1)*$D$4)*V166+(2004+3*$D$4-$A166)/((3-1)*$D$4)*W166</f>
        <v>0.22222222222222221</v>
      </c>
      <c r="AJ166" s="5">
        <f>($A166-2007)/((3-1)*$D$4)*W166+(2007+3*$D$4-$A166)/((3-1)*$D$4)*X166</f>
        <v>0.72222222222222221</v>
      </c>
      <c r="AK166" s="5">
        <f>($A166-2010)/((3-1)*$D$4)*X166+(2010+3*$D$4-$A166)/((3-1)*$D$4)*Y166</f>
        <v>0.055555555555555552</v>
      </c>
      <c r="AL166" s="5">
        <f>($A166-2013)/((3-1)*$D$4)*Y166+(2013+3*$D$4-$A166)/((3-1)*$D$4)*Z166</f>
        <v>0</v>
      </c>
      <c r="AM166" s="5">
        <f>($A166-2016)/((3-1)*$D$4)*Z166+(2016+3*$D$4-$A166)/((3-1)*$D$4)*AA166</f>
        <v>0</v>
      </c>
      <c r="AN166" s="5">
        <f>($A166-2019)/((3-1)*$D$4)*AA166+(2019+3*$D$4-$A166)/((3-1)*$D$4)*AB166</f>
        <v>0</v>
      </c>
      <c r="AO166" s="5">
        <f>($A166-1986)/((4-1)*$D$4)*AC166+(1986+4*$D$4-$A166)/((4-1)*$D$4)*AD166</f>
        <v>0</v>
      </c>
      <c r="AP166" s="5">
        <f>($A166-1989)/((4-1)*$D$4)*AD166+(1989+4*$D$4-$A166)/((4-1)*$D$4)*AE166</f>
        <v>0</v>
      </c>
      <c r="AQ166" s="5">
        <f>($A166-1992)/((4-1)*$D$4)*AE166+(1992+4*$D$4-$A166)/((4-1)*$D$4)*AF166</f>
        <v>0</v>
      </c>
      <c r="AR166" s="5">
        <f>($A166-1995)/((4-1)*$D$4)*AF166+(1995+4*$D$4-$A166)/((4-1)*$D$4)*AG166</f>
        <v>0</v>
      </c>
      <c r="AS166" s="5">
        <f>($A166-1998)/((4-1)*$D$4)*AG166+(1998+4*$D$4-$A166)/((4-1)*$D$4)*AH166</f>
        <v>0</v>
      </c>
      <c r="AT166" s="5">
        <f>($A166-2001)/((4-1)*$D$4)*AH166+(2001+4*$D$4-$A166)/((4-1)*$D$4)*AI166</f>
        <v>0.049382716049382713</v>
      </c>
      <c r="AU166" s="5">
        <f>($A166-2004)/((4-1)*$D$4)*AI166+(2004+4*$D$4-$A166)/((4-1)*$D$4)*AJ166</f>
        <v>0.57407407407407407</v>
      </c>
      <c r="AV166" s="5">
        <f>($A166-2007)/((4-1)*$D$4)*AJ166+(2007+4*$D$4-$A166)/((4-1)*$D$4)*AK166</f>
        <v>0.37037037037037035</v>
      </c>
      <c r="AW166" s="5">
        <f>($A166-2010)/((4-1)*$D$4)*AK166+(2010+4*$D$4-$A166)/((4-1)*$D$4)*AL166</f>
        <v>0.0061728395061728392</v>
      </c>
      <c r="AX166" s="5">
        <f>($A166-2013)/((4-1)*$D$4)*AL166+(2013+4*$D$4-$A166)/((4-1)*$D$4)*AM166</f>
        <v>0</v>
      </c>
      <c r="AY166" s="5">
        <f>($A166-2016)/((4-1)*$D$4)*AM166+(2016+4*$D$4-$A166)/((4-1)*$D$4)*AN166</f>
        <v>0</v>
      </c>
    </row>
    <row r="167">
      <c r="A167" s="3" t="n">
        <v>2012</v>
      </c>
      <c r="B167" s="5">
        <f>IF(AND($A167&gt;=1986,$A167&lt;1989),1,0)</f>
        <v>0</v>
      </c>
      <c r="C167" s="5">
        <f>IF(AND($A167&gt;=1989,$A167&lt;1992),1,0)</f>
        <v>0</v>
      </c>
      <c r="D167" s="5">
        <f>IF(AND($A167&gt;=1992,$A167&lt;1995),1,0)</f>
        <v>0</v>
      </c>
      <c r="E167" s="5">
        <f>IF(AND($A167&gt;=1995,$A167&lt;1998),1,0)</f>
        <v>0</v>
      </c>
      <c r="F167" s="5">
        <f>IF(AND($A167&gt;=1998,$A167&lt;2001),1,0)</f>
        <v>0</v>
      </c>
      <c r="G167" s="5">
        <f>IF(AND($A167&gt;=2001,$A167&lt;2004),1,0)</f>
        <v>0</v>
      </c>
      <c r="H167" s="5">
        <f>IF(AND($A167&gt;=2004,$A167&lt;2007),1,0)</f>
        <v>0</v>
      </c>
      <c r="I167" s="5">
        <f>IF(AND($A167&gt;=2007,$A167&lt;2010),1,0)</f>
        <v>0</v>
      </c>
      <c r="J167" s="5">
        <f>IF(AND($A167&gt;=2010,$A167&lt;2013),1,0)</f>
        <v>1</v>
      </c>
      <c r="K167" s="5">
        <f>IF(AND($A167&gt;=2013,$A167&lt;2016),1,0)</f>
        <v>0</v>
      </c>
      <c r="L167" s="5">
        <f>IF(AND($A167&gt;=2016,$A167&lt;2019),1,0)</f>
        <v>0</v>
      </c>
      <c r="M167" s="5">
        <f>IF(AND($A167&gt;=2019,$A167&lt;2022),1,0)</f>
        <v>0</v>
      </c>
      <c r="N167" s="5">
        <f>IF(AND($A167&gt;=2022,$A167&lt;2025),1,0)</f>
        <v>0</v>
      </c>
      <c r="O167" s="5">
        <f>IF(AND($A167&gt;=2025,$A167&lt;2028),1,0)</f>
        <v>0</v>
      </c>
      <c r="P167" s="5">
        <f>($A167-1986)/((2-1)*$D$4)*B167+(1986+2*$D$4-$A167)/((2-1)*$D$4)*C167</f>
        <v>0</v>
      </c>
      <c r="Q167" s="5">
        <f>($A167-1989)/((2-1)*$D$4)*C167+(1989+2*$D$4-$A167)/((2-1)*$D$4)*D167</f>
        <v>0</v>
      </c>
      <c r="R167" s="5">
        <f>($A167-1992)/((2-1)*$D$4)*D167+(1992+2*$D$4-$A167)/((2-1)*$D$4)*E167</f>
        <v>0</v>
      </c>
      <c r="S167" s="5">
        <f>($A167-1995)/((2-1)*$D$4)*E167+(1995+2*$D$4-$A167)/((2-1)*$D$4)*F167</f>
        <v>0</v>
      </c>
      <c r="T167" s="5">
        <f>($A167-1998)/((2-1)*$D$4)*F167+(1998+2*$D$4-$A167)/((2-1)*$D$4)*G167</f>
        <v>0</v>
      </c>
      <c r="U167" s="5">
        <f>($A167-2001)/((2-1)*$D$4)*G167+(2001+2*$D$4-$A167)/((2-1)*$D$4)*H167</f>
        <v>0</v>
      </c>
      <c r="V167" s="5">
        <f>($A167-2004)/((2-1)*$D$4)*H167+(2004+2*$D$4-$A167)/((2-1)*$D$4)*I167</f>
        <v>0</v>
      </c>
      <c r="W167" s="5">
        <f>($A167-2007)/((2-1)*$D$4)*I167+(2007+2*$D$4-$A167)/((2-1)*$D$4)*J167</f>
        <v>0.33333333333333331</v>
      </c>
      <c r="X167" s="5">
        <f>($A167-2010)/((2-1)*$D$4)*J167+(2010+2*$D$4-$A167)/((2-1)*$D$4)*K167</f>
        <v>0.66666666666666663</v>
      </c>
      <c r="Y167" s="5">
        <f>($A167-2013)/((2-1)*$D$4)*K167+(2013+2*$D$4-$A167)/((2-1)*$D$4)*L167</f>
        <v>0</v>
      </c>
      <c r="Z167" s="5">
        <f>($A167-2016)/((2-1)*$D$4)*L167+(2016+2*$D$4-$A167)/((2-1)*$D$4)*M167</f>
        <v>0</v>
      </c>
      <c r="AA167" s="5">
        <f>($A167-2019)/((2-1)*$D$4)*M167+(2019+2*$D$4-$A167)/((2-1)*$D$4)*N167</f>
        <v>0</v>
      </c>
      <c r="AB167" s="5">
        <f>($A167-2022)/((2-1)*$D$4)*N167+(2022+2*$D$4-$A167)/((2-1)*$D$4)*O167</f>
        <v>0</v>
      </c>
      <c r="AC167" s="5">
        <f>($A167-1986)/((3-1)*$D$4)*P167+(1986+3*$D$4-$A167)/((3-1)*$D$4)*Q167</f>
        <v>0</v>
      </c>
      <c r="AD167" s="5">
        <f>($A167-1989)/((3-1)*$D$4)*Q167+(1989+3*$D$4-$A167)/((3-1)*$D$4)*R167</f>
        <v>0</v>
      </c>
      <c r="AE167" s="5">
        <f>($A167-1992)/((3-1)*$D$4)*R167+(1992+3*$D$4-$A167)/((3-1)*$D$4)*S167</f>
        <v>0</v>
      </c>
      <c r="AF167" s="5">
        <f>($A167-1995)/((3-1)*$D$4)*S167+(1995+3*$D$4-$A167)/((3-1)*$D$4)*T167</f>
        <v>0</v>
      </c>
      <c r="AG167" s="5">
        <f>($A167-1998)/((3-1)*$D$4)*T167+(1998+3*$D$4-$A167)/((3-1)*$D$4)*U167</f>
        <v>0</v>
      </c>
      <c r="AH167" s="5">
        <f>($A167-2001)/((3-1)*$D$4)*U167+(2001+3*$D$4-$A167)/((3-1)*$D$4)*V167</f>
        <v>0</v>
      </c>
      <c r="AI167" s="5">
        <f>($A167-2004)/((3-1)*$D$4)*V167+(2004+3*$D$4-$A167)/((3-1)*$D$4)*W167</f>
        <v>0.055555555555555552</v>
      </c>
      <c r="AJ167" s="5">
        <f>($A167-2007)/((3-1)*$D$4)*W167+(2007+3*$D$4-$A167)/((3-1)*$D$4)*X167</f>
        <v>0.72222222222222221</v>
      </c>
      <c r="AK167" s="5">
        <f>($A167-2010)/((3-1)*$D$4)*X167+(2010+3*$D$4-$A167)/((3-1)*$D$4)*Y167</f>
        <v>0.22222222222222221</v>
      </c>
      <c r="AL167" s="5">
        <f>($A167-2013)/((3-1)*$D$4)*Y167+(2013+3*$D$4-$A167)/((3-1)*$D$4)*Z167</f>
        <v>0</v>
      </c>
      <c r="AM167" s="5">
        <f>($A167-2016)/((3-1)*$D$4)*Z167+(2016+3*$D$4-$A167)/((3-1)*$D$4)*AA167</f>
        <v>0</v>
      </c>
      <c r="AN167" s="5">
        <f>($A167-2019)/((3-1)*$D$4)*AA167+(2019+3*$D$4-$A167)/((3-1)*$D$4)*AB167</f>
        <v>0</v>
      </c>
      <c r="AO167" s="5">
        <f>($A167-1986)/((4-1)*$D$4)*AC167+(1986+4*$D$4-$A167)/((4-1)*$D$4)*AD167</f>
        <v>0</v>
      </c>
      <c r="AP167" s="5">
        <f>($A167-1989)/((4-1)*$D$4)*AD167+(1989+4*$D$4-$A167)/((4-1)*$D$4)*AE167</f>
        <v>0</v>
      </c>
      <c r="AQ167" s="5">
        <f>($A167-1992)/((4-1)*$D$4)*AE167+(1992+4*$D$4-$A167)/((4-1)*$D$4)*AF167</f>
        <v>0</v>
      </c>
      <c r="AR167" s="5">
        <f>($A167-1995)/((4-1)*$D$4)*AF167+(1995+4*$D$4-$A167)/((4-1)*$D$4)*AG167</f>
        <v>0</v>
      </c>
      <c r="AS167" s="5">
        <f>($A167-1998)/((4-1)*$D$4)*AG167+(1998+4*$D$4-$A167)/((4-1)*$D$4)*AH167</f>
        <v>0</v>
      </c>
      <c r="AT167" s="5">
        <f>($A167-2001)/((4-1)*$D$4)*AH167+(2001+4*$D$4-$A167)/((4-1)*$D$4)*AI167</f>
        <v>0.0061728395061728392</v>
      </c>
      <c r="AU167" s="5">
        <f>($A167-2004)/((4-1)*$D$4)*AI167+(2004+4*$D$4-$A167)/((4-1)*$D$4)*AJ167</f>
        <v>0.37037037037037035</v>
      </c>
      <c r="AV167" s="5">
        <f>($A167-2007)/((4-1)*$D$4)*AJ167+(2007+4*$D$4-$A167)/((4-1)*$D$4)*AK167</f>
        <v>0.57407407407407407</v>
      </c>
      <c r="AW167" s="5">
        <f>($A167-2010)/((4-1)*$D$4)*AK167+(2010+4*$D$4-$A167)/((4-1)*$D$4)*AL167</f>
        <v>0.049382716049382713</v>
      </c>
      <c r="AX167" s="5">
        <f>($A167-2013)/((4-1)*$D$4)*AL167+(2013+4*$D$4-$A167)/((4-1)*$D$4)*AM167</f>
        <v>0</v>
      </c>
      <c r="AY167" s="5">
        <f>($A167-2016)/((4-1)*$D$4)*AM167+(2016+4*$D$4-$A167)/((4-1)*$D$4)*AN167</f>
        <v>0</v>
      </c>
    </row>
    <row r="168">
      <c r="A168" s="3" t="n">
        <v>2013</v>
      </c>
      <c r="B168" s="5">
        <f>IF(AND($A168&gt;=1986,$A168&lt;1989),1,0)</f>
        <v>0</v>
      </c>
      <c r="C168" s="5">
        <f>IF(AND($A168&gt;=1989,$A168&lt;1992),1,0)</f>
        <v>0</v>
      </c>
      <c r="D168" s="5">
        <f>IF(AND($A168&gt;=1992,$A168&lt;1995),1,0)</f>
        <v>0</v>
      </c>
      <c r="E168" s="5">
        <f>IF(AND($A168&gt;=1995,$A168&lt;1998),1,0)</f>
        <v>0</v>
      </c>
      <c r="F168" s="5">
        <f>IF(AND($A168&gt;=1998,$A168&lt;2001),1,0)</f>
        <v>0</v>
      </c>
      <c r="G168" s="5">
        <f>IF(AND($A168&gt;=2001,$A168&lt;2004),1,0)</f>
        <v>0</v>
      </c>
      <c r="H168" s="5">
        <f>IF(AND($A168&gt;=2004,$A168&lt;2007),1,0)</f>
        <v>0</v>
      </c>
      <c r="I168" s="5">
        <f>IF(AND($A168&gt;=2007,$A168&lt;2010),1,0)</f>
        <v>0</v>
      </c>
      <c r="J168" s="5">
        <f>IF(AND($A168&gt;=2010,$A168&lt;2013),1,0)</f>
        <v>0</v>
      </c>
      <c r="K168" s="5">
        <f>IF(AND($A168&gt;=2013,$A168&lt;2016),1,0)</f>
        <v>1</v>
      </c>
      <c r="L168" s="5">
        <f>IF(AND($A168&gt;=2016,$A168&lt;2019),1,0)</f>
        <v>0</v>
      </c>
      <c r="M168" s="5">
        <f>IF(AND($A168&gt;=2019,$A168&lt;2022),1,0)</f>
        <v>0</v>
      </c>
      <c r="N168" s="5">
        <f>IF(AND($A168&gt;=2022,$A168&lt;2025),1,0)</f>
        <v>0</v>
      </c>
      <c r="O168" s="5">
        <f>IF(AND($A168&gt;=2025,$A168&lt;2028),1,0)</f>
        <v>0</v>
      </c>
      <c r="P168" s="5">
        <f>($A168-1986)/((2-1)*$D$4)*B168+(1986+2*$D$4-$A168)/((2-1)*$D$4)*C168</f>
        <v>0</v>
      </c>
      <c r="Q168" s="5">
        <f>($A168-1989)/((2-1)*$D$4)*C168+(1989+2*$D$4-$A168)/((2-1)*$D$4)*D168</f>
        <v>0</v>
      </c>
      <c r="R168" s="5">
        <f>($A168-1992)/((2-1)*$D$4)*D168+(1992+2*$D$4-$A168)/((2-1)*$D$4)*E168</f>
        <v>0</v>
      </c>
      <c r="S168" s="5">
        <f>($A168-1995)/((2-1)*$D$4)*E168+(1995+2*$D$4-$A168)/((2-1)*$D$4)*F168</f>
        <v>0</v>
      </c>
      <c r="T168" s="5">
        <f>($A168-1998)/((2-1)*$D$4)*F168+(1998+2*$D$4-$A168)/((2-1)*$D$4)*G168</f>
        <v>0</v>
      </c>
      <c r="U168" s="5">
        <f>($A168-2001)/((2-1)*$D$4)*G168+(2001+2*$D$4-$A168)/((2-1)*$D$4)*H168</f>
        <v>0</v>
      </c>
      <c r="V168" s="5">
        <f>($A168-2004)/((2-1)*$D$4)*H168+(2004+2*$D$4-$A168)/((2-1)*$D$4)*I168</f>
        <v>0</v>
      </c>
      <c r="W168" s="5">
        <f>($A168-2007)/((2-1)*$D$4)*I168+(2007+2*$D$4-$A168)/((2-1)*$D$4)*J168</f>
        <v>0</v>
      </c>
      <c r="X168" s="5">
        <f>($A168-2010)/((2-1)*$D$4)*J168+(2010+2*$D$4-$A168)/((2-1)*$D$4)*K168</f>
        <v>1</v>
      </c>
      <c r="Y168" s="5">
        <f>($A168-2013)/((2-1)*$D$4)*K168+(2013+2*$D$4-$A168)/((2-1)*$D$4)*L168</f>
        <v>0</v>
      </c>
      <c r="Z168" s="5">
        <f>($A168-2016)/((2-1)*$D$4)*L168+(2016+2*$D$4-$A168)/((2-1)*$D$4)*M168</f>
        <v>0</v>
      </c>
      <c r="AA168" s="5">
        <f>($A168-2019)/((2-1)*$D$4)*M168+(2019+2*$D$4-$A168)/((2-1)*$D$4)*N168</f>
        <v>0</v>
      </c>
      <c r="AB168" s="5">
        <f>($A168-2022)/((2-1)*$D$4)*N168+(2022+2*$D$4-$A168)/((2-1)*$D$4)*O168</f>
        <v>0</v>
      </c>
      <c r="AC168" s="5">
        <f>($A168-1986)/((3-1)*$D$4)*P168+(1986+3*$D$4-$A168)/((3-1)*$D$4)*Q168</f>
        <v>0</v>
      </c>
      <c r="AD168" s="5">
        <f>($A168-1989)/((3-1)*$D$4)*Q168+(1989+3*$D$4-$A168)/((3-1)*$D$4)*R168</f>
        <v>0</v>
      </c>
      <c r="AE168" s="5">
        <f>($A168-1992)/((3-1)*$D$4)*R168+(1992+3*$D$4-$A168)/((3-1)*$D$4)*S168</f>
        <v>0</v>
      </c>
      <c r="AF168" s="5">
        <f>($A168-1995)/((3-1)*$D$4)*S168+(1995+3*$D$4-$A168)/((3-1)*$D$4)*T168</f>
        <v>0</v>
      </c>
      <c r="AG168" s="5">
        <f>($A168-1998)/((3-1)*$D$4)*T168+(1998+3*$D$4-$A168)/((3-1)*$D$4)*U168</f>
        <v>0</v>
      </c>
      <c r="AH168" s="5">
        <f>($A168-2001)/((3-1)*$D$4)*U168+(2001+3*$D$4-$A168)/((3-1)*$D$4)*V168</f>
        <v>0</v>
      </c>
      <c r="AI168" s="5">
        <f>($A168-2004)/((3-1)*$D$4)*V168+(2004+3*$D$4-$A168)/((3-1)*$D$4)*W168</f>
        <v>0</v>
      </c>
      <c r="AJ168" s="5">
        <f>($A168-2007)/((3-1)*$D$4)*W168+(2007+3*$D$4-$A168)/((3-1)*$D$4)*X168</f>
        <v>0.5</v>
      </c>
      <c r="AK168" s="5">
        <f>($A168-2010)/((3-1)*$D$4)*X168+(2010+3*$D$4-$A168)/((3-1)*$D$4)*Y168</f>
        <v>0.5</v>
      </c>
      <c r="AL168" s="5">
        <f>($A168-2013)/((3-1)*$D$4)*Y168+(2013+3*$D$4-$A168)/((3-1)*$D$4)*Z168</f>
        <v>0</v>
      </c>
      <c r="AM168" s="5">
        <f>($A168-2016)/((3-1)*$D$4)*Z168+(2016+3*$D$4-$A168)/((3-1)*$D$4)*AA168</f>
        <v>0</v>
      </c>
      <c r="AN168" s="5">
        <f>($A168-2019)/((3-1)*$D$4)*AA168+(2019+3*$D$4-$A168)/((3-1)*$D$4)*AB168</f>
        <v>0</v>
      </c>
      <c r="AO168" s="5">
        <f>($A168-1986)/((4-1)*$D$4)*AC168+(1986+4*$D$4-$A168)/((4-1)*$D$4)*AD168</f>
        <v>0</v>
      </c>
      <c r="AP168" s="5">
        <f>($A168-1989)/((4-1)*$D$4)*AD168+(1989+4*$D$4-$A168)/((4-1)*$D$4)*AE168</f>
        <v>0</v>
      </c>
      <c r="AQ168" s="5">
        <f>($A168-1992)/((4-1)*$D$4)*AE168+(1992+4*$D$4-$A168)/((4-1)*$D$4)*AF168</f>
        <v>0</v>
      </c>
      <c r="AR168" s="5">
        <f>($A168-1995)/((4-1)*$D$4)*AF168+(1995+4*$D$4-$A168)/((4-1)*$D$4)*AG168</f>
        <v>0</v>
      </c>
      <c r="AS168" s="5">
        <f>($A168-1998)/((4-1)*$D$4)*AG168+(1998+4*$D$4-$A168)/((4-1)*$D$4)*AH168</f>
        <v>0</v>
      </c>
      <c r="AT168" s="5">
        <f>($A168-2001)/((4-1)*$D$4)*AH168+(2001+4*$D$4-$A168)/((4-1)*$D$4)*AI168</f>
        <v>0</v>
      </c>
      <c r="AU168" s="5">
        <f>($A168-2004)/((4-1)*$D$4)*AI168+(2004+4*$D$4-$A168)/((4-1)*$D$4)*AJ168</f>
        <v>0.16666666666666666</v>
      </c>
      <c r="AV168" s="5">
        <f>($A168-2007)/((4-1)*$D$4)*AJ168+(2007+4*$D$4-$A168)/((4-1)*$D$4)*AK168</f>
        <v>0.66666666666666663</v>
      </c>
      <c r="AW168" s="5">
        <f>($A168-2010)/((4-1)*$D$4)*AK168+(2010+4*$D$4-$A168)/((4-1)*$D$4)*AL168</f>
        <v>0.16666666666666666</v>
      </c>
      <c r="AX168" s="5">
        <f>($A168-2013)/((4-1)*$D$4)*AL168+(2013+4*$D$4-$A168)/((4-1)*$D$4)*AM168</f>
        <v>0</v>
      </c>
      <c r="AY168" s="5">
        <f>($A168-2016)/((4-1)*$D$4)*AM168+(2016+4*$D$4-$A168)/((4-1)*$D$4)*AN168</f>
        <v>0</v>
      </c>
    </row>
    <row r="169">
      <c r="A169" s="3" t="n">
        <v>2014</v>
      </c>
      <c r="B169" s="5">
        <f>IF(AND($A169&gt;=1986,$A169&lt;1989),1,0)</f>
        <v>0</v>
      </c>
      <c r="C169" s="5">
        <f>IF(AND($A169&gt;=1989,$A169&lt;1992),1,0)</f>
        <v>0</v>
      </c>
      <c r="D169" s="5">
        <f>IF(AND($A169&gt;=1992,$A169&lt;1995),1,0)</f>
        <v>0</v>
      </c>
      <c r="E169" s="5">
        <f>IF(AND($A169&gt;=1995,$A169&lt;1998),1,0)</f>
        <v>0</v>
      </c>
      <c r="F169" s="5">
        <f>IF(AND($A169&gt;=1998,$A169&lt;2001),1,0)</f>
        <v>0</v>
      </c>
      <c r="G169" s="5">
        <f>IF(AND($A169&gt;=2001,$A169&lt;2004),1,0)</f>
        <v>0</v>
      </c>
      <c r="H169" s="5">
        <f>IF(AND($A169&gt;=2004,$A169&lt;2007),1,0)</f>
        <v>0</v>
      </c>
      <c r="I169" s="5">
        <f>IF(AND($A169&gt;=2007,$A169&lt;2010),1,0)</f>
        <v>0</v>
      </c>
      <c r="J169" s="5">
        <f>IF(AND($A169&gt;=2010,$A169&lt;2013),1,0)</f>
        <v>0</v>
      </c>
      <c r="K169" s="5">
        <f>IF(AND($A169&gt;=2013,$A169&lt;2016),1,0)</f>
        <v>1</v>
      </c>
      <c r="L169" s="5">
        <f>IF(AND($A169&gt;=2016,$A169&lt;2019),1,0)</f>
        <v>0</v>
      </c>
      <c r="M169" s="5">
        <f>IF(AND($A169&gt;=2019,$A169&lt;2022),1,0)</f>
        <v>0</v>
      </c>
      <c r="N169" s="5">
        <f>IF(AND($A169&gt;=2022,$A169&lt;2025),1,0)</f>
        <v>0</v>
      </c>
      <c r="O169" s="5">
        <f>IF(AND($A169&gt;=2025,$A169&lt;2028),1,0)</f>
        <v>0</v>
      </c>
      <c r="P169" s="5">
        <f>($A169-1986)/((2-1)*$D$4)*B169+(1986+2*$D$4-$A169)/((2-1)*$D$4)*C169</f>
        <v>0</v>
      </c>
      <c r="Q169" s="5">
        <f>($A169-1989)/((2-1)*$D$4)*C169+(1989+2*$D$4-$A169)/((2-1)*$D$4)*D169</f>
        <v>0</v>
      </c>
      <c r="R169" s="5">
        <f>($A169-1992)/((2-1)*$D$4)*D169+(1992+2*$D$4-$A169)/((2-1)*$D$4)*E169</f>
        <v>0</v>
      </c>
      <c r="S169" s="5">
        <f>($A169-1995)/((2-1)*$D$4)*E169+(1995+2*$D$4-$A169)/((2-1)*$D$4)*F169</f>
        <v>0</v>
      </c>
      <c r="T169" s="5">
        <f>($A169-1998)/((2-1)*$D$4)*F169+(1998+2*$D$4-$A169)/((2-1)*$D$4)*G169</f>
        <v>0</v>
      </c>
      <c r="U169" s="5">
        <f>($A169-2001)/((2-1)*$D$4)*G169+(2001+2*$D$4-$A169)/((2-1)*$D$4)*H169</f>
        <v>0</v>
      </c>
      <c r="V169" s="5">
        <f>($A169-2004)/((2-1)*$D$4)*H169+(2004+2*$D$4-$A169)/((2-1)*$D$4)*I169</f>
        <v>0</v>
      </c>
      <c r="W169" s="5">
        <f>($A169-2007)/((2-1)*$D$4)*I169+(2007+2*$D$4-$A169)/((2-1)*$D$4)*J169</f>
        <v>0</v>
      </c>
      <c r="X169" s="5">
        <f>($A169-2010)/((2-1)*$D$4)*J169+(2010+2*$D$4-$A169)/((2-1)*$D$4)*K169</f>
        <v>0.66666666666666663</v>
      </c>
      <c r="Y169" s="5">
        <f>($A169-2013)/((2-1)*$D$4)*K169+(2013+2*$D$4-$A169)/((2-1)*$D$4)*L169</f>
        <v>0.33333333333333331</v>
      </c>
      <c r="Z169" s="5">
        <f>($A169-2016)/((2-1)*$D$4)*L169+(2016+2*$D$4-$A169)/((2-1)*$D$4)*M169</f>
        <v>0</v>
      </c>
      <c r="AA169" s="5">
        <f>($A169-2019)/((2-1)*$D$4)*M169+(2019+2*$D$4-$A169)/((2-1)*$D$4)*N169</f>
        <v>0</v>
      </c>
      <c r="AB169" s="5">
        <f>($A169-2022)/((2-1)*$D$4)*N169+(2022+2*$D$4-$A169)/((2-1)*$D$4)*O169</f>
        <v>0</v>
      </c>
      <c r="AC169" s="5">
        <f>($A169-1986)/((3-1)*$D$4)*P169+(1986+3*$D$4-$A169)/((3-1)*$D$4)*Q169</f>
        <v>0</v>
      </c>
      <c r="AD169" s="5">
        <f>($A169-1989)/((3-1)*$D$4)*Q169+(1989+3*$D$4-$A169)/((3-1)*$D$4)*R169</f>
        <v>0</v>
      </c>
      <c r="AE169" s="5">
        <f>($A169-1992)/((3-1)*$D$4)*R169+(1992+3*$D$4-$A169)/((3-1)*$D$4)*S169</f>
        <v>0</v>
      </c>
      <c r="AF169" s="5">
        <f>($A169-1995)/((3-1)*$D$4)*S169+(1995+3*$D$4-$A169)/((3-1)*$D$4)*T169</f>
        <v>0</v>
      </c>
      <c r="AG169" s="5">
        <f>($A169-1998)/((3-1)*$D$4)*T169+(1998+3*$D$4-$A169)/((3-1)*$D$4)*U169</f>
        <v>0</v>
      </c>
      <c r="AH169" s="5">
        <f>($A169-2001)/((3-1)*$D$4)*U169+(2001+3*$D$4-$A169)/((3-1)*$D$4)*V169</f>
        <v>0</v>
      </c>
      <c r="AI169" s="5">
        <f>($A169-2004)/((3-1)*$D$4)*V169+(2004+3*$D$4-$A169)/((3-1)*$D$4)*W169</f>
        <v>0</v>
      </c>
      <c r="AJ169" s="5">
        <f>($A169-2007)/((3-1)*$D$4)*W169+(2007+3*$D$4-$A169)/((3-1)*$D$4)*X169</f>
        <v>0.22222222222222221</v>
      </c>
      <c r="AK169" s="5">
        <f>($A169-2010)/((3-1)*$D$4)*X169+(2010+3*$D$4-$A169)/((3-1)*$D$4)*Y169</f>
        <v>0.72222222222222221</v>
      </c>
      <c r="AL169" s="5">
        <f>($A169-2013)/((3-1)*$D$4)*Y169+(2013+3*$D$4-$A169)/((3-1)*$D$4)*Z169</f>
        <v>0.055555555555555552</v>
      </c>
      <c r="AM169" s="5">
        <f>($A169-2016)/((3-1)*$D$4)*Z169+(2016+3*$D$4-$A169)/((3-1)*$D$4)*AA169</f>
        <v>0</v>
      </c>
      <c r="AN169" s="5">
        <f>($A169-2019)/((3-1)*$D$4)*AA169+(2019+3*$D$4-$A169)/((3-1)*$D$4)*AB169</f>
        <v>0</v>
      </c>
      <c r="AO169" s="5">
        <f>($A169-1986)/((4-1)*$D$4)*AC169+(1986+4*$D$4-$A169)/((4-1)*$D$4)*AD169</f>
        <v>0</v>
      </c>
      <c r="AP169" s="5">
        <f>($A169-1989)/((4-1)*$D$4)*AD169+(1989+4*$D$4-$A169)/((4-1)*$D$4)*AE169</f>
        <v>0</v>
      </c>
      <c r="AQ169" s="5">
        <f>($A169-1992)/((4-1)*$D$4)*AE169+(1992+4*$D$4-$A169)/((4-1)*$D$4)*AF169</f>
        <v>0</v>
      </c>
      <c r="AR169" s="5">
        <f>($A169-1995)/((4-1)*$D$4)*AF169+(1995+4*$D$4-$A169)/((4-1)*$D$4)*AG169</f>
        <v>0</v>
      </c>
      <c r="AS169" s="5">
        <f>($A169-1998)/((4-1)*$D$4)*AG169+(1998+4*$D$4-$A169)/((4-1)*$D$4)*AH169</f>
        <v>0</v>
      </c>
      <c r="AT169" s="5">
        <f>($A169-2001)/((4-1)*$D$4)*AH169+(2001+4*$D$4-$A169)/((4-1)*$D$4)*AI169</f>
        <v>0</v>
      </c>
      <c r="AU169" s="5">
        <f>($A169-2004)/((4-1)*$D$4)*AI169+(2004+4*$D$4-$A169)/((4-1)*$D$4)*AJ169</f>
        <v>0.049382716049382713</v>
      </c>
      <c r="AV169" s="5">
        <f>($A169-2007)/((4-1)*$D$4)*AJ169+(2007+4*$D$4-$A169)/((4-1)*$D$4)*AK169</f>
        <v>0.57407407407407407</v>
      </c>
      <c r="AW169" s="5">
        <f>($A169-2010)/((4-1)*$D$4)*AK169+(2010+4*$D$4-$A169)/((4-1)*$D$4)*AL169</f>
        <v>0.37037037037037035</v>
      </c>
      <c r="AX169" s="5">
        <f>($A169-2013)/((4-1)*$D$4)*AL169+(2013+4*$D$4-$A169)/((4-1)*$D$4)*AM169</f>
        <v>0.0061728395061728392</v>
      </c>
      <c r="AY169" s="5">
        <f>($A169-2016)/((4-1)*$D$4)*AM169+(2016+4*$D$4-$A169)/((4-1)*$D$4)*AN169</f>
        <v>0</v>
      </c>
    </row>
    <row r="170">
      <c r="A170" s="3" t="n">
        <v>2015</v>
      </c>
      <c r="B170" s="5">
        <f>IF(AND($A170&gt;=1986,$A170&lt;1989),1,0)</f>
        <v>0</v>
      </c>
      <c r="C170" s="5">
        <f>IF(AND($A170&gt;=1989,$A170&lt;1992),1,0)</f>
        <v>0</v>
      </c>
      <c r="D170" s="5">
        <f>IF(AND($A170&gt;=1992,$A170&lt;1995),1,0)</f>
        <v>0</v>
      </c>
      <c r="E170" s="5">
        <f>IF(AND($A170&gt;=1995,$A170&lt;1998),1,0)</f>
        <v>0</v>
      </c>
      <c r="F170" s="5">
        <f>IF(AND($A170&gt;=1998,$A170&lt;2001),1,0)</f>
        <v>0</v>
      </c>
      <c r="G170" s="5">
        <f>IF(AND($A170&gt;=2001,$A170&lt;2004),1,0)</f>
        <v>0</v>
      </c>
      <c r="H170" s="5">
        <f>IF(AND($A170&gt;=2004,$A170&lt;2007),1,0)</f>
        <v>0</v>
      </c>
      <c r="I170" s="5">
        <f>IF(AND($A170&gt;=2007,$A170&lt;2010),1,0)</f>
        <v>0</v>
      </c>
      <c r="J170" s="5">
        <f>IF(AND($A170&gt;=2010,$A170&lt;2013),1,0)</f>
        <v>0</v>
      </c>
      <c r="K170" s="5">
        <f>IF(AND($A170&gt;=2013,$A170&lt;2016),1,0)</f>
        <v>1</v>
      </c>
      <c r="L170" s="5">
        <f>IF(AND($A170&gt;=2016,$A170&lt;2019),1,0)</f>
        <v>0</v>
      </c>
      <c r="M170" s="5">
        <f>IF(AND($A170&gt;=2019,$A170&lt;2022),1,0)</f>
        <v>0</v>
      </c>
      <c r="N170" s="5">
        <f>IF(AND($A170&gt;=2022,$A170&lt;2025),1,0)</f>
        <v>0</v>
      </c>
      <c r="O170" s="5">
        <f>IF(AND($A170&gt;=2025,$A170&lt;2028),1,0)</f>
        <v>0</v>
      </c>
      <c r="P170" s="5">
        <f>($A170-1986)/((2-1)*$D$4)*B170+(1986+2*$D$4-$A170)/((2-1)*$D$4)*C170</f>
        <v>0</v>
      </c>
      <c r="Q170" s="5">
        <f>($A170-1989)/((2-1)*$D$4)*C170+(1989+2*$D$4-$A170)/((2-1)*$D$4)*D170</f>
        <v>0</v>
      </c>
      <c r="R170" s="5">
        <f>($A170-1992)/((2-1)*$D$4)*D170+(1992+2*$D$4-$A170)/((2-1)*$D$4)*E170</f>
        <v>0</v>
      </c>
      <c r="S170" s="5">
        <f>($A170-1995)/((2-1)*$D$4)*E170+(1995+2*$D$4-$A170)/((2-1)*$D$4)*F170</f>
        <v>0</v>
      </c>
      <c r="T170" s="5">
        <f>($A170-1998)/((2-1)*$D$4)*F170+(1998+2*$D$4-$A170)/((2-1)*$D$4)*G170</f>
        <v>0</v>
      </c>
      <c r="U170" s="5">
        <f>($A170-2001)/((2-1)*$D$4)*G170+(2001+2*$D$4-$A170)/((2-1)*$D$4)*H170</f>
        <v>0</v>
      </c>
      <c r="V170" s="5">
        <f>($A170-2004)/((2-1)*$D$4)*H170+(2004+2*$D$4-$A170)/((2-1)*$D$4)*I170</f>
        <v>0</v>
      </c>
      <c r="W170" s="5">
        <f>($A170-2007)/((2-1)*$D$4)*I170+(2007+2*$D$4-$A170)/((2-1)*$D$4)*J170</f>
        <v>0</v>
      </c>
      <c r="X170" s="5">
        <f>($A170-2010)/((2-1)*$D$4)*J170+(2010+2*$D$4-$A170)/((2-1)*$D$4)*K170</f>
        <v>0.33333333333333331</v>
      </c>
      <c r="Y170" s="5">
        <f>($A170-2013)/((2-1)*$D$4)*K170+(2013+2*$D$4-$A170)/((2-1)*$D$4)*L170</f>
        <v>0.66666666666666663</v>
      </c>
      <c r="Z170" s="5">
        <f>($A170-2016)/((2-1)*$D$4)*L170+(2016+2*$D$4-$A170)/((2-1)*$D$4)*M170</f>
        <v>0</v>
      </c>
      <c r="AA170" s="5">
        <f>($A170-2019)/((2-1)*$D$4)*M170+(2019+2*$D$4-$A170)/((2-1)*$D$4)*N170</f>
        <v>0</v>
      </c>
      <c r="AB170" s="5">
        <f>($A170-2022)/((2-1)*$D$4)*N170+(2022+2*$D$4-$A170)/((2-1)*$D$4)*O170</f>
        <v>0</v>
      </c>
      <c r="AC170" s="5">
        <f>($A170-1986)/((3-1)*$D$4)*P170+(1986+3*$D$4-$A170)/((3-1)*$D$4)*Q170</f>
        <v>0</v>
      </c>
      <c r="AD170" s="5">
        <f>($A170-1989)/((3-1)*$D$4)*Q170+(1989+3*$D$4-$A170)/((3-1)*$D$4)*R170</f>
        <v>0</v>
      </c>
      <c r="AE170" s="5">
        <f>($A170-1992)/((3-1)*$D$4)*R170+(1992+3*$D$4-$A170)/((3-1)*$D$4)*S170</f>
        <v>0</v>
      </c>
      <c r="AF170" s="5">
        <f>($A170-1995)/((3-1)*$D$4)*S170+(1995+3*$D$4-$A170)/((3-1)*$D$4)*T170</f>
        <v>0</v>
      </c>
      <c r="AG170" s="5">
        <f>($A170-1998)/((3-1)*$D$4)*T170+(1998+3*$D$4-$A170)/((3-1)*$D$4)*U170</f>
        <v>0</v>
      </c>
      <c r="AH170" s="5">
        <f>($A170-2001)/((3-1)*$D$4)*U170+(2001+3*$D$4-$A170)/((3-1)*$D$4)*V170</f>
        <v>0</v>
      </c>
      <c r="AI170" s="5">
        <f>($A170-2004)/((3-1)*$D$4)*V170+(2004+3*$D$4-$A170)/((3-1)*$D$4)*W170</f>
        <v>0</v>
      </c>
      <c r="AJ170" s="5">
        <f>($A170-2007)/((3-1)*$D$4)*W170+(2007+3*$D$4-$A170)/((3-1)*$D$4)*X170</f>
        <v>0.055555555555555552</v>
      </c>
      <c r="AK170" s="5">
        <f>($A170-2010)/((3-1)*$D$4)*X170+(2010+3*$D$4-$A170)/((3-1)*$D$4)*Y170</f>
        <v>0.72222222222222221</v>
      </c>
      <c r="AL170" s="5">
        <f>($A170-2013)/((3-1)*$D$4)*Y170+(2013+3*$D$4-$A170)/((3-1)*$D$4)*Z170</f>
        <v>0.22222222222222221</v>
      </c>
      <c r="AM170" s="5">
        <f>($A170-2016)/((3-1)*$D$4)*Z170+(2016+3*$D$4-$A170)/((3-1)*$D$4)*AA170</f>
        <v>0</v>
      </c>
      <c r="AN170" s="5">
        <f>($A170-2019)/((3-1)*$D$4)*AA170+(2019+3*$D$4-$A170)/((3-1)*$D$4)*AB170</f>
        <v>0</v>
      </c>
      <c r="AO170" s="5">
        <f>($A170-1986)/((4-1)*$D$4)*AC170+(1986+4*$D$4-$A170)/((4-1)*$D$4)*AD170</f>
        <v>0</v>
      </c>
      <c r="AP170" s="5">
        <f>($A170-1989)/((4-1)*$D$4)*AD170+(1989+4*$D$4-$A170)/((4-1)*$D$4)*AE170</f>
        <v>0</v>
      </c>
      <c r="AQ170" s="5">
        <f>($A170-1992)/((4-1)*$D$4)*AE170+(1992+4*$D$4-$A170)/((4-1)*$D$4)*AF170</f>
        <v>0</v>
      </c>
      <c r="AR170" s="5">
        <f>($A170-1995)/((4-1)*$D$4)*AF170+(1995+4*$D$4-$A170)/((4-1)*$D$4)*AG170</f>
        <v>0</v>
      </c>
      <c r="AS170" s="5">
        <f>($A170-1998)/((4-1)*$D$4)*AG170+(1998+4*$D$4-$A170)/((4-1)*$D$4)*AH170</f>
        <v>0</v>
      </c>
      <c r="AT170" s="5">
        <f>($A170-2001)/((4-1)*$D$4)*AH170+(2001+4*$D$4-$A170)/((4-1)*$D$4)*AI170</f>
        <v>0</v>
      </c>
      <c r="AU170" s="5">
        <f>($A170-2004)/((4-1)*$D$4)*AI170+(2004+4*$D$4-$A170)/((4-1)*$D$4)*AJ170</f>
        <v>0.0061728395061728392</v>
      </c>
      <c r="AV170" s="5">
        <f>($A170-2007)/((4-1)*$D$4)*AJ170+(2007+4*$D$4-$A170)/((4-1)*$D$4)*AK170</f>
        <v>0.37037037037037035</v>
      </c>
      <c r="AW170" s="5">
        <f>($A170-2010)/((4-1)*$D$4)*AK170+(2010+4*$D$4-$A170)/((4-1)*$D$4)*AL170</f>
        <v>0.57407407407407407</v>
      </c>
      <c r="AX170" s="5">
        <f>($A170-2013)/((4-1)*$D$4)*AL170+(2013+4*$D$4-$A170)/((4-1)*$D$4)*AM170</f>
        <v>0.049382716049382713</v>
      </c>
      <c r="AY170" s="5">
        <f>($A170-2016)/((4-1)*$D$4)*AM170+(2016+4*$D$4-$A170)/((4-1)*$D$4)*AN170</f>
        <v>0</v>
      </c>
    </row>
    <row r="171">
      <c r="A171" s="3" t="n">
        <v>2016</v>
      </c>
      <c r="B171" s="5">
        <f>IF(AND($A171&gt;=1986,$A171&lt;1989),1,0)</f>
        <v>0</v>
      </c>
      <c r="C171" s="5">
        <f>IF(AND($A171&gt;=1989,$A171&lt;1992),1,0)</f>
        <v>0</v>
      </c>
      <c r="D171" s="5">
        <f>IF(AND($A171&gt;=1992,$A171&lt;1995),1,0)</f>
        <v>0</v>
      </c>
      <c r="E171" s="5">
        <f>IF(AND($A171&gt;=1995,$A171&lt;1998),1,0)</f>
        <v>0</v>
      </c>
      <c r="F171" s="5">
        <f>IF(AND($A171&gt;=1998,$A171&lt;2001),1,0)</f>
        <v>0</v>
      </c>
      <c r="G171" s="5">
        <f>IF(AND($A171&gt;=2001,$A171&lt;2004),1,0)</f>
        <v>0</v>
      </c>
      <c r="H171" s="5">
        <f>IF(AND($A171&gt;=2004,$A171&lt;2007),1,0)</f>
        <v>0</v>
      </c>
      <c r="I171" s="5">
        <f>IF(AND($A171&gt;=2007,$A171&lt;2010),1,0)</f>
        <v>0</v>
      </c>
      <c r="J171" s="5">
        <f>IF(AND($A171&gt;=2010,$A171&lt;2013),1,0)</f>
        <v>0</v>
      </c>
      <c r="K171" s="5">
        <f>IF(AND($A171&gt;=2013,$A171&lt;2016),1,0)</f>
        <v>0</v>
      </c>
      <c r="L171" s="5">
        <f>IF(AND($A171&gt;=2016,$A171&lt;2019),1,0)</f>
        <v>1</v>
      </c>
      <c r="M171" s="5">
        <f>IF(AND($A171&gt;=2019,$A171&lt;2022),1,0)</f>
        <v>0</v>
      </c>
      <c r="N171" s="5">
        <f>IF(AND($A171&gt;=2022,$A171&lt;2025),1,0)</f>
        <v>0</v>
      </c>
      <c r="O171" s="5">
        <f>IF(AND($A171&gt;=2025,$A171&lt;2028),1,0)</f>
        <v>0</v>
      </c>
      <c r="P171" s="5">
        <f>($A171-1986)/((2-1)*$D$4)*B171+(1986+2*$D$4-$A171)/((2-1)*$D$4)*C171</f>
        <v>0</v>
      </c>
      <c r="Q171" s="5">
        <f>($A171-1989)/((2-1)*$D$4)*C171+(1989+2*$D$4-$A171)/((2-1)*$D$4)*D171</f>
        <v>0</v>
      </c>
      <c r="R171" s="5">
        <f>($A171-1992)/((2-1)*$D$4)*D171+(1992+2*$D$4-$A171)/((2-1)*$D$4)*E171</f>
        <v>0</v>
      </c>
      <c r="S171" s="5">
        <f>($A171-1995)/((2-1)*$D$4)*E171+(1995+2*$D$4-$A171)/((2-1)*$D$4)*F171</f>
        <v>0</v>
      </c>
      <c r="T171" s="5">
        <f>($A171-1998)/((2-1)*$D$4)*F171+(1998+2*$D$4-$A171)/((2-1)*$D$4)*G171</f>
        <v>0</v>
      </c>
      <c r="U171" s="5">
        <f>($A171-2001)/((2-1)*$D$4)*G171+(2001+2*$D$4-$A171)/((2-1)*$D$4)*H171</f>
        <v>0</v>
      </c>
      <c r="V171" s="5">
        <f>($A171-2004)/((2-1)*$D$4)*H171+(2004+2*$D$4-$A171)/((2-1)*$D$4)*I171</f>
        <v>0</v>
      </c>
      <c r="W171" s="5">
        <f>($A171-2007)/((2-1)*$D$4)*I171+(2007+2*$D$4-$A171)/((2-1)*$D$4)*J171</f>
        <v>0</v>
      </c>
      <c r="X171" s="5">
        <f>($A171-2010)/((2-1)*$D$4)*J171+(2010+2*$D$4-$A171)/((2-1)*$D$4)*K171</f>
        <v>0</v>
      </c>
      <c r="Y171" s="5">
        <f>($A171-2013)/((2-1)*$D$4)*K171+(2013+2*$D$4-$A171)/((2-1)*$D$4)*L171</f>
        <v>1</v>
      </c>
      <c r="Z171" s="5">
        <f>($A171-2016)/((2-1)*$D$4)*L171+(2016+2*$D$4-$A171)/((2-1)*$D$4)*M171</f>
        <v>0</v>
      </c>
      <c r="AA171" s="5">
        <f>($A171-2019)/((2-1)*$D$4)*M171+(2019+2*$D$4-$A171)/((2-1)*$D$4)*N171</f>
        <v>0</v>
      </c>
      <c r="AB171" s="5">
        <f>($A171-2022)/((2-1)*$D$4)*N171+(2022+2*$D$4-$A171)/((2-1)*$D$4)*O171</f>
        <v>0</v>
      </c>
      <c r="AC171" s="5">
        <f>($A171-1986)/((3-1)*$D$4)*P171+(1986+3*$D$4-$A171)/((3-1)*$D$4)*Q171</f>
        <v>0</v>
      </c>
      <c r="AD171" s="5">
        <f>($A171-1989)/((3-1)*$D$4)*Q171+(1989+3*$D$4-$A171)/((3-1)*$D$4)*R171</f>
        <v>0</v>
      </c>
      <c r="AE171" s="5">
        <f>($A171-1992)/((3-1)*$D$4)*R171+(1992+3*$D$4-$A171)/((3-1)*$D$4)*S171</f>
        <v>0</v>
      </c>
      <c r="AF171" s="5">
        <f>($A171-1995)/((3-1)*$D$4)*S171+(1995+3*$D$4-$A171)/((3-1)*$D$4)*T171</f>
        <v>0</v>
      </c>
      <c r="AG171" s="5">
        <f>($A171-1998)/((3-1)*$D$4)*T171+(1998+3*$D$4-$A171)/((3-1)*$D$4)*U171</f>
        <v>0</v>
      </c>
      <c r="AH171" s="5">
        <f>($A171-2001)/((3-1)*$D$4)*U171+(2001+3*$D$4-$A171)/((3-1)*$D$4)*V171</f>
        <v>0</v>
      </c>
      <c r="AI171" s="5">
        <f>($A171-2004)/((3-1)*$D$4)*V171+(2004+3*$D$4-$A171)/((3-1)*$D$4)*W171</f>
        <v>0</v>
      </c>
      <c r="AJ171" s="5">
        <f>($A171-2007)/((3-1)*$D$4)*W171+(2007+3*$D$4-$A171)/((3-1)*$D$4)*X171</f>
        <v>0</v>
      </c>
      <c r="AK171" s="5">
        <f>($A171-2010)/((3-1)*$D$4)*X171+(2010+3*$D$4-$A171)/((3-1)*$D$4)*Y171</f>
        <v>0.5</v>
      </c>
      <c r="AL171" s="5">
        <f>($A171-2013)/((3-1)*$D$4)*Y171+(2013+3*$D$4-$A171)/((3-1)*$D$4)*Z171</f>
        <v>0.5</v>
      </c>
      <c r="AM171" s="5">
        <f>($A171-2016)/((3-1)*$D$4)*Z171+(2016+3*$D$4-$A171)/((3-1)*$D$4)*AA171</f>
        <v>0</v>
      </c>
      <c r="AN171" s="5">
        <f>($A171-2019)/((3-1)*$D$4)*AA171+(2019+3*$D$4-$A171)/((3-1)*$D$4)*AB171</f>
        <v>0</v>
      </c>
      <c r="AO171" s="5">
        <f>($A171-1986)/((4-1)*$D$4)*AC171+(1986+4*$D$4-$A171)/((4-1)*$D$4)*AD171</f>
        <v>0</v>
      </c>
      <c r="AP171" s="5">
        <f>($A171-1989)/((4-1)*$D$4)*AD171+(1989+4*$D$4-$A171)/((4-1)*$D$4)*AE171</f>
        <v>0</v>
      </c>
      <c r="AQ171" s="5">
        <f>($A171-1992)/((4-1)*$D$4)*AE171+(1992+4*$D$4-$A171)/((4-1)*$D$4)*AF171</f>
        <v>0</v>
      </c>
      <c r="AR171" s="5">
        <f>($A171-1995)/((4-1)*$D$4)*AF171+(1995+4*$D$4-$A171)/((4-1)*$D$4)*AG171</f>
        <v>0</v>
      </c>
      <c r="AS171" s="5">
        <f>($A171-1998)/((4-1)*$D$4)*AG171+(1998+4*$D$4-$A171)/((4-1)*$D$4)*AH171</f>
        <v>0</v>
      </c>
      <c r="AT171" s="5">
        <f>($A171-2001)/((4-1)*$D$4)*AH171+(2001+4*$D$4-$A171)/((4-1)*$D$4)*AI171</f>
        <v>0</v>
      </c>
      <c r="AU171" s="5">
        <f>($A171-2004)/((4-1)*$D$4)*AI171+(2004+4*$D$4-$A171)/((4-1)*$D$4)*AJ171</f>
        <v>0</v>
      </c>
      <c r="AV171" s="5">
        <f>($A171-2007)/((4-1)*$D$4)*AJ171+(2007+4*$D$4-$A171)/((4-1)*$D$4)*AK171</f>
        <v>0.16666666666666666</v>
      </c>
      <c r="AW171" s="5">
        <f>($A171-2010)/((4-1)*$D$4)*AK171+(2010+4*$D$4-$A171)/((4-1)*$D$4)*AL171</f>
        <v>0.66666666666666663</v>
      </c>
      <c r="AX171" s="5">
        <f>($A171-2013)/((4-1)*$D$4)*AL171+(2013+4*$D$4-$A171)/((4-1)*$D$4)*AM171</f>
        <v>0.16666666666666666</v>
      </c>
      <c r="AY171" s="5">
        <f>($A171-2016)/((4-1)*$D$4)*AM171+(2016+4*$D$4-$A171)/((4-1)*$D$4)*AN171</f>
        <v>0</v>
      </c>
    </row>
    <row r="172">
      <c r="A172" s="3" t="n">
        <v>2017</v>
      </c>
      <c r="B172" s="5">
        <f>IF(AND($A172&gt;=1986,$A172&lt;1989),1,0)</f>
        <v>0</v>
      </c>
      <c r="C172" s="5">
        <f>IF(AND($A172&gt;=1989,$A172&lt;1992),1,0)</f>
        <v>0</v>
      </c>
      <c r="D172" s="5">
        <f>IF(AND($A172&gt;=1992,$A172&lt;1995),1,0)</f>
        <v>0</v>
      </c>
      <c r="E172" s="5">
        <f>IF(AND($A172&gt;=1995,$A172&lt;1998),1,0)</f>
        <v>0</v>
      </c>
      <c r="F172" s="5">
        <f>IF(AND($A172&gt;=1998,$A172&lt;2001),1,0)</f>
        <v>0</v>
      </c>
      <c r="G172" s="5">
        <f>IF(AND($A172&gt;=2001,$A172&lt;2004),1,0)</f>
        <v>0</v>
      </c>
      <c r="H172" s="5">
        <f>IF(AND($A172&gt;=2004,$A172&lt;2007),1,0)</f>
        <v>0</v>
      </c>
      <c r="I172" s="5">
        <f>IF(AND($A172&gt;=2007,$A172&lt;2010),1,0)</f>
        <v>0</v>
      </c>
      <c r="J172" s="5">
        <f>IF(AND($A172&gt;=2010,$A172&lt;2013),1,0)</f>
        <v>0</v>
      </c>
      <c r="K172" s="5">
        <f>IF(AND($A172&gt;=2013,$A172&lt;2016),1,0)</f>
        <v>0</v>
      </c>
      <c r="L172" s="5">
        <f>IF(AND($A172&gt;=2016,$A172&lt;2019),1,0)</f>
        <v>1</v>
      </c>
      <c r="M172" s="5">
        <f>IF(AND($A172&gt;=2019,$A172&lt;2022),1,0)</f>
        <v>0</v>
      </c>
      <c r="N172" s="5">
        <f>IF(AND($A172&gt;=2022,$A172&lt;2025),1,0)</f>
        <v>0</v>
      </c>
      <c r="O172" s="5">
        <f>IF(AND($A172&gt;=2025,$A172&lt;2028),1,0)</f>
        <v>0</v>
      </c>
      <c r="P172" s="5">
        <f>($A172-1986)/((2-1)*$D$4)*B172+(1986+2*$D$4-$A172)/((2-1)*$D$4)*C172</f>
        <v>0</v>
      </c>
      <c r="Q172" s="5">
        <f>($A172-1989)/((2-1)*$D$4)*C172+(1989+2*$D$4-$A172)/((2-1)*$D$4)*D172</f>
        <v>0</v>
      </c>
      <c r="R172" s="5">
        <f>($A172-1992)/((2-1)*$D$4)*D172+(1992+2*$D$4-$A172)/((2-1)*$D$4)*E172</f>
        <v>0</v>
      </c>
      <c r="S172" s="5">
        <f>($A172-1995)/((2-1)*$D$4)*E172+(1995+2*$D$4-$A172)/((2-1)*$D$4)*F172</f>
        <v>0</v>
      </c>
      <c r="T172" s="5">
        <f>($A172-1998)/((2-1)*$D$4)*F172+(1998+2*$D$4-$A172)/((2-1)*$D$4)*G172</f>
        <v>0</v>
      </c>
      <c r="U172" s="5">
        <f>($A172-2001)/((2-1)*$D$4)*G172+(2001+2*$D$4-$A172)/((2-1)*$D$4)*H172</f>
        <v>0</v>
      </c>
      <c r="V172" s="5">
        <f>($A172-2004)/((2-1)*$D$4)*H172+(2004+2*$D$4-$A172)/((2-1)*$D$4)*I172</f>
        <v>0</v>
      </c>
      <c r="W172" s="5">
        <f>($A172-2007)/((2-1)*$D$4)*I172+(2007+2*$D$4-$A172)/((2-1)*$D$4)*J172</f>
        <v>0</v>
      </c>
      <c r="X172" s="5">
        <f>($A172-2010)/((2-1)*$D$4)*J172+(2010+2*$D$4-$A172)/((2-1)*$D$4)*K172</f>
        <v>0</v>
      </c>
      <c r="Y172" s="5">
        <f>($A172-2013)/((2-1)*$D$4)*K172+(2013+2*$D$4-$A172)/((2-1)*$D$4)*L172</f>
        <v>0.66666666666666663</v>
      </c>
      <c r="Z172" s="5">
        <f>($A172-2016)/((2-1)*$D$4)*L172+(2016+2*$D$4-$A172)/((2-1)*$D$4)*M172</f>
        <v>0.33333333333333331</v>
      </c>
      <c r="AA172" s="5">
        <f>($A172-2019)/((2-1)*$D$4)*M172+(2019+2*$D$4-$A172)/((2-1)*$D$4)*N172</f>
        <v>0</v>
      </c>
      <c r="AB172" s="5">
        <f>($A172-2022)/((2-1)*$D$4)*N172+(2022+2*$D$4-$A172)/((2-1)*$D$4)*O172</f>
        <v>0</v>
      </c>
      <c r="AC172" s="5">
        <f>($A172-1986)/((3-1)*$D$4)*P172+(1986+3*$D$4-$A172)/((3-1)*$D$4)*Q172</f>
        <v>0</v>
      </c>
      <c r="AD172" s="5">
        <f>($A172-1989)/((3-1)*$D$4)*Q172+(1989+3*$D$4-$A172)/((3-1)*$D$4)*R172</f>
        <v>0</v>
      </c>
      <c r="AE172" s="5">
        <f>($A172-1992)/((3-1)*$D$4)*R172+(1992+3*$D$4-$A172)/((3-1)*$D$4)*S172</f>
        <v>0</v>
      </c>
      <c r="AF172" s="5">
        <f>($A172-1995)/((3-1)*$D$4)*S172+(1995+3*$D$4-$A172)/((3-1)*$D$4)*T172</f>
        <v>0</v>
      </c>
      <c r="AG172" s="5">
        <f>($A172-1998)/((3-1)*$D$4)*T172+(1998+3*$D$4-$A172)/((3-1)*$D$4)*U172</f>
        <v>0</v>
      </c>
      <c r="AH172" s="5">
        <f>($A172-2001)/((3-1)*$D$4)*U172+(2001+3*$D$4-$A172)/((3-1)*$D$4)*V172</f>
        <v>0</v>
      </c>
      <c r="AI172" s="5">
        <f>($A172-2004)/((3-1)*$D$4)*V172+(2004+3*$D$4-$A172)/((3-1)*$D$4)*W172</f>
        <v>0</v>
      </c>
      <c r="AJ172" s="5">
        <f>($A172-2007)/((3-1)*$D$4)*W172+(2007+3*$D$4-$A172)/((3-1)*$D$4)*X172</f>
        <v>0</v>
      </c>
      <c r="AK172" s="5">
        <f>($A172-2010)/((3-1)*$D$4)*X172+(2010+3*$D$4-$A172)/((3-1)*$D$4)*Y172</f>
        <v>0.22222222222222221</v>
      </c>
      <c r="AL172" s="5">
        <f>($A172-2013)/((3-1)*$D$4)*Y172+(2013+3*$D$4-$A172)/((3-1)*$D$4)*Z172</f>
        <v>0.72222222222222221</v>
      </c>
      <c r="AM172" s="5">
        <f>($A172-2016)/((3-1)*$D$4)*Z172+(2016+3*$D$4-$A172)/((3-1)*$D$4)*AA172</f>
        <v>0.055555555555555552</v>
      </c>
      <c r="AN172" s="5">
        <f>($A172-2019)/((3-1)*$D$4)*AA172+(2019+3*$D$4-$A172)/((3-1)*$D$4)*AB172</f>
        <v>0</v>
      </c>
      <c r="AO172" s="5">
        <f>($A172-1986)/((4-1)*$D$4)*AC172+(1986+4*$D$4-$A172)/((4-1)*$D$4)*AD172</f>
        <v>0</v>
      </c>
      <c r="AP172" s="5">
        <f>($A172-1989)/((4-1)*$D$4)*AD172+(1989+4*$D$4-$A172)/((4-1)*$D$4)*AE172</f>
        <v>0</v>
      </c>
      <c r="AQ172" s="5">
        <f>($A172-1992)/((4-1)*$D$4)*AE172+(1992+4*$D$4-$A172)/((4-1)*$D$4)*AF172</f>
        <v>0</v>
      </c>
      <c r="AR172" s="5">
        <f>($A172-1995)/((4-1)*$D$4)*AF172+(1995+4*$D$4-$A172)/((4-1)*$D$4)*AG172</f>
        <v>0</v>
      </c>
      <c r="AS172" s="5">
        <f>($A172-1998)/((4-1)*$D$4)*AG172+(1998+4*$D$4-$A172)/((4-1)*$D$4)*AH172</f>
        <v>0</v>
      </c>
      <c r="AT172" s="5">
        <f>($A172-2001)/((4-1)*$D$4)*AH172+(2001+4*$D$4-$A172)/((4-1)*$D$4)*AI172</f>
        <v>0</v>
      </c>
      <c r="AU172" s="5">
        <f>($A172-2004)/((4-1)*$D$4)*AI172+(2004+4*$D$4-$A172)/((4-1)*$D$4)*AJ172</f>
        <v>0</v>
      </c>
      <c r="AV172" s="5">
        <f>($A172-2007)/((4-1)*$D$4)*AJ172+(2007+4*$D$4-$A172)/((4-1)*$D$4)*AK172</f>
        <v>0.049382716049382713</v>
      </c>
      <c r="AW172" s="5">
        <f>($A172-2010)/((4-1)*$D$4)*AK172+(2010+4*$D$4-$A172)/((4-1)*$D$4)*AL172</f>
        <v>0.57407407407407407</v>
      </c>
      <c r="AX172" s="5">
        <f>($A172-2013)/((4-1)*$D$4)*AL172+(2013+4*$D$4-$A172)/((4-1)*$D$4)*AM172</f>
        <v>0.37037037037037035</v>
      </c>
      <c r="AY172" s="5">
        <f>($A172-2016)/((4-1)*$D$4)*AM172+(2016+4*$D$4-$A172)/((4-1)*$D$4)*AN172</f>
        <v>0.0061728395061728392</v>
      </c>
    </row>
    <row r="173">
      <c r="A173" s="3" t="n">
        <v>2018</v>
      </c>
      <c r="B173" s="5">
        <f>IF(AND($A173&gt;=1986,$A173&lt;1989),1,0)</f>
        <v>0</v>
      </c>
      <c r="C173" s="5">
        <f>IF(AND($A173&gt;=1989,$A173&lt;1992),1,0)</f>
        <v>0</v>
      </c>
      <c r="D173" s="5">
        <f>IF(AND($A173&gt;=1992,$A173&lt;1995),1,0)</f>
        <v>0</v>
      </c>
      <c r="E173" s="5">
        <f>IF(AND($A173&gt;=1995,$A173&lt;1998),1,0)</f>
        <v>0</v>
      </c>
      <c r="F173" s="5">
        <f>IF(AND($A173&gt;=1998,$A173&lt;2001),1,0)</f>
        <v>0</v>
      </c>
      <c r="G173" s="5">
        <f>IF(AND($A173&gt;=2001,$A173&lt;2004),1,0)</f>
        <v>0</v>
      </c>
      <c r="H173" s="5">
        <f>IF(AND($A173&gt;=2004,$A173&lt;2007),1,0)</f>
        <v>0</v>
      </c>
      <c r="I173" s="5">
        <f>IF(AND($A173&gt;=2007,$A173&lt;2010),1,0)</f>
        <v>0</v>
      </c>
      <c r="J173" s="5">
        <f>IF(AND($A173&gt;=2010,$A173&lt;2013),1,0)</f>
        <v>0</v>
      </c>
      <c r="K173" s="5">
        <f>IF(AND($A173&gt;=2013,$A173&lt;2016),1,0)</f>
        <v>0</v>
      </c>
      <c r="L173" s="5">
        <f>IF(AND($A173&gt;=2016,$A173&lt;2019),1,0)</f>
        <v>1</v>
      </c>
      <c r="M173" s="5">
        <f>IF(AND($A173&gt;=2019,$A173&lt;2022),1,0)</f>
        <v>0</v>
      </c>
      <c r="N173" s="5">
        <f>IF(AND($A173&gt;=2022,$A173&lt;2025),1,0)</f>
        <v>0</v>
      </c>
      <c r="O173" s="5">
        <f>IF(AND($A173&gt;=2025,$A173&lt;2028),1,0)</f>
        <v>0</v>
      </c>
      <c r="P173" s="5">
        <f>($A173-1986)/((2-1)*$D$4)*B173+(1986+2*$D$4-$A173)/((2-1)*$D$4)*C173</f>
        <v>0</v>
      </c>
      <c r="Q173" s="5">
        <f>($A173-1989)/((2-1)*$D$4)*C173+(1989+2*$D$4-$A173)/((2-1)*$D$4)*D173</f>
        <v>0</v>
      </c>
      <c r="R173" s="5">
        <f>($A173-1992)/((2-1)*$D$4)*D173+(1992+2*$D$4-$A173)/((2-1)*$D$4)*E173</f>
        <v>0</v>
      </c>
      <c r="S173" s="5">
        <f>($A173-1995)/((2-1)*$D$4)*E173+(1995+2*$D$4-$A173)/((2-1)*$D$4)*F173</f>
        <v>0</v>
      </c>
      <c r="T173" s="5">
        <f>($A173-1998)/((2-1)*$D$4)*F173+(1998+2*$D$4-$A173)/((2-1)*$D$4)*G173</f>
        <v>0</v>
      </c>
      <c r="U173" s="5">
        <f>($A173-2001)/((2-1)*$D$4)*G173+(2001+2*$D$4-$A173)/((2-1)*$D$4)*H173</f>
        <v>0</v>
      </c>
      <c r="V173" s="5">
        <f>($A173-2004)/((2-1)*$D$4)*H173+(2004+2*$D$4-$A173)/((2-1)*$D$4)*I173</f>
        <v>0</v>
      </c>
      <c r="W173" s="5">
        <f>($A173-2007)/((2-1)*$D$4)*I173+(2007+2*$D$4-$A173)/((2-1)*$D$4)*J173</f>
        <v>0</v>
      </c>
      <c r="X173" s="5">
        <f>($A173-2010)/((2-1)*$D$4)*J173+(2010+2*$D$4-$A173)/((2-1)*$D$4)*K173</f>
        <v>0</v>
      </c>
      <c r="Y173" s="5">
        <f>($A173-2013)/((2-1)*$D$4)*K173+(2013+2*$D$4-$A173)/((2-1)*$D$4)*L173</f>
        <v>0.33333333333333331</v>
      </c>
      <c r="Z173" s="5">
        <f>($A173-2016)/((2-1)*$D$4)*L173+(2016+2*$D$4-$A173)/((2-1)*$D$4)*M173</f>
        <v>0.66666666666666663</v>
      </c>
      <c r="AA173" s="5">
        <f>($A173-2019)/((2-1)*$D$4)*M173+(2019+2*$D$4-$A173)/((2-1)*$D$4)*N173</f>
        <v>0</v>
      </c>
      <c r="AB173" s="5">
        <f>($A173-2022)/((2-1)*$D$4)*N173+(2022+2*$D$4-$A173)/((2-1)*$D$4)*O173</f>
        <v>0</v>
      </c>
      <c r="AC173" s="5">
        <f>($A173-1986)/((3-1)*$D$4)*P173+(1986+3*$D$4-$A173)/((3-1)*$D$4)*Q173</f>
        <v>0</v>
      </c>
      <c r="AD173" s="5">
        <f>($A173-1989)/((3-1)*$D$4)*Q173+(1989+3*$D$4-$A173)/((3-1)*$D$4)*R173</f>
        <v>0</v>
      </c>
      <c r="AE173" s="5">
        <f>($A173-1992)/((3-1)*$D$4)*R173+(1992+3*$D$4-$A173)/((3-1)*$D$4)*S173</f>
        <v>0</v>
      </c>
      <c r="AF173" s="5">
        <f>($A173-1995)/((3-1)*$D$4)*S173+(1995+3*$D$4-$A173)/((3-1)*$D$4)*T173</f>
        <v>0</v>
      </c>
      <c r="AG173" s="5">
        <f>($A173-1998)/((3-1)*$D$4)*T173+(1998+3*$D$4-$A173)/((3-1)*$D$4)*U173</f>
        <v>0</v>
      </c>
      <c r="AH173" s="5">
        <f>($A173-2001)/((3-1)*$D$4)*U173+(2001+3*$D$4-$A173)/((3-1)*$D$4)*V173</f>
        <v>0</v>
      </c>
      <c r="AI173" s="5">
        <f>($A173-2004)/((3-1)*$D$4)*V173+(2004+3*$D$4-$A173)/((3-1)*$D$4)*W173</f>
        <v>0</v>
      </c>
      <c r="AJ173" s="5">
        <f>($A173-2007)/((3-1)*$D$4)*W173+(2007+3*$D$4-$A173)/((3-1)*$D$4)*X173</f>
        <v>0</v>
      </c>
      <c r="AK173" s="5">
        <f>($A173-2010)/((3-1)*$D$4)*X173+(2010+3*$D$4-$A173)/((3-1)*$D$4)*Y173</f>
        <v>0.055555555555555552</v>
      </c>
      <c r="AL173" s="5">
        <f>($A173-2013)/((3-1)*$D$4)*Y173+(2013+3*$D$4-$A173)/((3-1)*$D$4)*Z173</f>
        <v>0.72222222222222221</v>
      </c>
      <c r="AM173" s="5">
        <f>($A173-2016)/((3-1)*$D$4)*Z173+(2016+3*$D$4-$A173)/((3-1)*$D$4)*AA173</f>
        <v>0.22222222222222221</v>
      </c>
      <c r="AN173" s="5">
        <f>($A173-2019)/((3-1)*$D$4)*AA173+(2019+3*$D$4-$A173)/((3-1)*$D$4)*AB173</f>
        <v>0</v>
      </c>
      <c r="AO173" s="5">
        <f>($A173-1986)/((4-1)*$D$4)*AC173+(1986+4*$D$4-$A173)/((4-1)*$D$4)*AD173</f>
        <v>0</v>
      </c>
      <c r="AP173" s="5">
        <f>($A173-1989)/((4-1)*$D$4)*AD173+(1989+4*$D$4-$A173)/((4-1)*$D$4)*AE173</f>
        <v>0</v>
      </c>
      <c r="AQ173" s="5">
        <f>($A173-1992)/((4-1)*$D$4)*AE173+(1992+4*$D$4-$A173)/((4-1)*$D$4)*AF173</f>
        <v>0</v>
      </c>
      <c r="AR173" s="5">
        <f>($A173-1995)/((4-1)*$D$4)*AF173+(1995+4*$D$4-$A173)/((4-1)*$D$4)*AG173</f>
        <v>0</v>
      </c>
      <c r="AS173" s="5">
        <f>($A173-1998)/((4-1)*$D$4)*AG173+(1998+4*$D$4-$A173)/((4-1)*$D$4)*AH173</f>
        <v>0</v>
      </c>
      <c r="AT173" s="5">
        <f>($A173-2001)/((4-1)*$D$4)*AH173+(2001+4*$D$4-$A173)/((4-1)*$D$4)*AI173</f>
        <v>0</v>
      </c>
      <c r="AU173" s="5">
        <f>($A173-2004)/((4-1)*$D$4)*AI173+(2004+4*$D$4-$A173)/((4-1)*$D$4)*AJ173</f>
        <v>0</v>
      </c>
      <c r="AV173" s="5">
        <f>($A173-2007)/((4-1)*$D$4)*AJ173+(2007+4*$D$4-$A173)/((4-1)*$D$4)*AK173</f>
        <v>0.0061728395061728392</v>
      </c>
      <c r="AW173" s="5">
        <f>($A173-2010)/((4-1)*$D$4)*AK173+(2010+4*$D$4-$A173)/((4-1)*$D$4)*AL173</f>
        <v>0.37037037037037035</v>
      </c>
      <c r="AX173" s="5">
        <f>($A173-2013)/((4-1)*$D$4)*AL173+(2013+4*$D$4-$A173)/((4-1)*$D$4)*AM173</f>
        <v>0.57407407407407407</v>
      </c>
      <c r="AY173" s="5">
        <f>($A173-2016)/((4-1)*$D$4)*AM173+(2016+4*$D$4-$A173)/((4-1)*$D$4)*AN173</f>
        <v>0.049382716049382713</v>
      </c>
    </row>
    <row r="174">
      <c r="A174" s="3" t="n">
        <v>2019</v>
      </c>
      <c r="B174" s="5">
        <f>IF(AND($A174&gt;=1986,$A174&lt;1989),1,0)</f>
        <v>0</v>
      </c>
      <c r="C174" s="5">
        <f>IF(AND($A174&gt;=1989,$A174&lt;1992),1,0)</f>
        <v>0</v>
      </c>
      <c r="D174" s="5">
        <f>IF(AND($A174&gt;=1992,$A174&lt;1995),1,0)</f>
        <v>0</v>
      </c>
      <c r="E174" s="5">
        <f>IF(AND($A174&gt;=1995,$A174&lt;1998),1,0)</f>
        <v>0</v>
      </c>
      <c r="F174" s="5">
        <f>IF(AND($A174&gt;=1998,$A174&lt;2001),1,0)</f>
        <v>0</v>
      </c>
      <c r="G174" s="5">
        <f>IF(AND($A174&gt;=2001,$A174&lt;2004),1,0)</f>
        <v>0</v>
      </c>
      <c r="H174" s="5">
        <f>IF(AND($A174&gt;=2004,$A174&lt;2007),1,0)</f>
        <v>0</v>
      </c>
      <c r="I174" s="5">
        <f>IF(AND($A174&gt;=2007,$A174&lt;2010),1,0)</f>
        <v>0</v>
      </c>
      <c r="J174" s="5">
        <f>IF(AND($A174&gt;=2010,$A174&lt;2013),1,0)</f>
        <v>0</v>
      </c>
      <c r="K174" s="5">
        <f>IF(AND($A174&gt;=2013,$A174&lt;2016),1,0)</f>
        <v>0</v>
      </c>
      <c r="L174" s="5">
        <f>IF(AND($A174&gt;=2016,$A174&lt;2019),1,0)</f>
        <v>0</v>
      </c>
      <c r="M174" s="5">
        <f>IF(AND($A174&gt;=2019,$A174&lt;2022),1,0)</f>
        <v>1</v>
      </c>
      <c r="N174" s="5">
        <f>IF(AND($A174&gt;=2022,$A174&lt;2025),1,0)</f>
        <v>0</v>
      </c>
      <c r="O174" s="5">
        <f>IF(AND($A174&gt;=2025,$A174&lt;2028),1,0)</f>
        <v>0</v>
      </c>
      <c r="P174" s="5">
        <f>($A174-1986)/((2-1)*$D$4)*B174+(1986+2*$D$4-$A174)/((2-1)*$D$4)*C174</f>
        <v>0</v>
      </c>
      <c r="Q174" s="5">
        <f>($A174-1989)/((2-1)*$D$4)*C174+(1989+2*$D$4-$A174)/((2-1)*$D$4)*D174</f>
        <v>0</v>
      </c>
      <c r="R174" s="5">
        <f>($A174-1992)/((2-1)*$D$4)*D174+(1992+2*$D$4-$A174)/((2-1)*$D$4)*E174</f>
        <v>0</v>
      </c>
      <c r="S174" s="5">
        <f>($A174-1995)/((2-1)*$D$4)*E174+(1995+2*$D$4-$A174)/((2-1)*$D$4)*F174</f>
        <v>0</v>
      </c>
      <c r="T174" s="5">
        <f>($A174-1998)/((2-1)*$D$4)*F174+(1998+2*$D$4-$A174)/((2-1)*$D$4)*G174</f>
        <v>0</v>
      </c>
      <c r="U174" s="5">
        <f>($A174-2001)/((2-1)*$D$4)*G174+(2001+2*$D$4-$A174)/((2-1)*$D$4)*H174</f>
        <v>0</v>
      </c>
      <c r="V174" s="5">
        <f>($A174-2004)/((2-1)*$D$4)*H174+(2004+2*$D$4-$A174)/((2-1)*$D$4)*I174</f>
        <v>0</v>
      </c>
      <c r="W174" s="5">
        <f>($A174-2007)/((2-1)*$D$4)*I174+(2007+2*$D$4-$A174)/((2-1)*$D$4)*J174</f>
        <v>0</v>
      </c>
      <c r="X174" s="5">
        <f>($A174-2010)/((2-1)*$D$4)*J174+(2010+2*$D$4-$A174)/((2-1)*$D$4)*K174</f>
        <v>0</v>
      </c>
      <c r="Y174" s="5">
        <f>($A174-2013)/((2-1)*$D$4)*K174+(2013+2*$D$4-$A174)/((2-1)*$D$4)*L174</f>
        <v>0</v>
      </c>
      <c r="Z174" s="5">
        <f>($A174-2016)/((2-1)*$D$4)*L174+(2016+2*$D$4-$A174)/((2-1)*$D$4)*M174</f>
        <v>1</v>
      </c>
      <c r="AA174" s="5">
        <f>($A174-2019)/((2-1)*$D$4)*M174+(2019+2*$D$4-$A174)/((2-1)*$D$4)*N174</f>
        <v>0</v>
      </c>
      <c r="AB174" s="5">
        <f>($A174-2022)/((2-1)*$D$4)*N174+(2022+2*$D$4-$A174)/((2-1)*$D$4)*O174</f>
        <v>0</v>
      </c>
      <c r="AC174" s="5">
        <f>($A174-1986)/((3-1)*$D$4)*P174+(1986+3*$D$4-$A174)/((3-1)*$D$4)*Q174</f>
        <v>0</v>
      </c>
      <c r="AD174" s="5">
        <f>($A174-1989)/((3-1)*$D$4)*Q174+(1989+3*$D$4-$A174)/((3-1)*$D$4)*R174</f>
        <v>0</v>
      </c>
      <c r="AE174" s="5">
        <f>($A174-1992)/((3-1)*$D$4)*R174+(1992+3*$D$4-$A174)/((3-1)*$D$4)*S174</f>
        <v>0</v>
      </c>
      <c r="AF174" s="5">
        <f>($A174-1995)/((3-1)*$D$4)*S174+(1995+3*$D$4-$A174)/((3-1)*$D$4)*T174</f>
        <v>0</v>
      </c>
      <c r="AG174" s="5">
        <f>($A174-1998)/((3-1)*$D$4)*T174+(1998+3*$D$4-$A174)/((3-1)*$D$4)*U174</f>
        <v>0</v>
      </c>
      <c r="AH174" s="5">
        <f>($A174-2001)/((3-1)*$D$4)*U174+(2001+3*$D$4-$A174)/((3-1)*$D$4)*V174</f>
        <v>0</v>
      </c>
      <c r="AI174" s="5">
        <f>($A174-2004)/((3-1)*$D$4)*V174+(2004+3*$D$4-$A174)/((3-1)*$D$4)*W174</f>
        <v>0</v>
      </c>
      <c r="AJ174" s="5">
        <f>($A174-2007)/((3-1)*$D$4)*W174+(2007+3*$D$4-$A174)/((3-1)*$D$4)*X174</f>
        <v>0</v>
      </c>
      <c r="AK174" s="5">
        <f>($A174-2010)/((3-1)*$D$4)*X174+(2010+3*$D$4-$A174)/((3-1)*$D$4)*Y174</f>
        <v>0</v>
      </c>
      <c r="AL174" s="5">
        <f>($A174-2013)/((3-1)*$D$4)*Y174+(2013+3*$D$4-$A174)/((3-1)*$D$4)*Z174</f>
        <v>0.5</v>
      </c>
      <c r="AM174" s="5">
        <f>($A174-2016)/((3-1)*$D$4)*Z174+(2016+3*$D$4-$A174)/((3-1)*$D$4)*AA174</f>
        <v>0.5</v>
      </c>
      <c r="AN174" s="5">
        <f>($A174-2019)/((3-1)*$D$4)*AA174+(2019+3*$D$4-$A174)/((3-1)*$D$4)*AB174</f>
        <v>0</v>
      </c>
      <c r="AO174" s="5">
        <f>($A174-1986)/((4-1)*$D$4)*AC174+(1986+4*$D$4-$A174)/((4-1)*$D$4)*AD174</f>
        <v>0</v>
      </c>
      <c r="AP174" s="5">
        <f>($A174-1989)/((4-1)*$D$4)*AD174+(1989+4*$D$4-$A174)/((4-1)*$D$4)*AE174</f>
        <v>0</v>
      </c>
      <c r="AQ174" s="5">
        <f>($A174-1992)/((4-1)*$D$4)*AE174+(1992+4*$D$4-$A174)/((4-1)*$D$4)*AF174</f>
        <v>0</v>
      </c>
      <c r="AR174" s="5">
        <f>($A174-1995)/((4-1)*$D$4)*AF174+(1995+4*$D$4-$A174)/((4-1)*$D$4)*AG174</f>
        <v>0</v>
      </c>
      <c r="AS174" s="5">
        <f>($A174-1998)/((4-1)*$D$4)*AG174+(1998+4*$D$4-$A174)/((4-1)*$D$4)*AH174</f>
        <v>0</v>
      </c>
      <c r="AT174" s="5">
        <f>($A174-2001)/((4-1)*$D$4)*AH174+(2001+4*$D$4-$A174)/((4-1)*$D$4)*AI174</f>
        <v>0</v>
      </c>
      <c r="AU174" s="5">
        <f>($A174-2004)/((4-1)*$D$4)*AI174+(2004+4*$D$4-$A174)/((4-1)*$D$4)*AJ174</f>
        <v>0</v>
      </c>
      <c r="AV174" s="5">
        <f>($A174-2007)/((4-1)*$D$4)*AJ174+(2007+4*$D$4-$A174)/((4-1)*$D$4)*AK174</f>
        <v>0</v>
      </c>
      <c r="AW174" s="5">
        <f>($A174-2010)/((4-1)*$D$4)*AK174+(2010+4*$D$4-$A174)/((4-1)*$D$4)*AL174</f>
        <v>0.16666666666666666</v>
      </c>
      <c r="AX174" s="5">
        <f>($A174-2013)/((4-1)*$D$4)*AL174+(2013+4*$D$4-$A174)/((4-1)*$D$4)*AM174</f>
        <v>0.66666666666666663</v>
      </c>
      <c r="AY174" s="5">
        <f>($A174-2016)/((4-1)*$D$4)*AM174+(2016+4*$D$4-$A174)/((4-1)*$D$4)*AN174</f>
        <v>0.16666666666666666</v>
      </c>
    </row>
    <row r="175"/>
    <row r="176"/>
    <row r="177"/>
    <row r="178"/>
    <row r="179"/>
    <row r="180" ht="42" customHeight="1">
      <c r="A180" s="2" t="inlineStr">
        <is>
          <t>Projection rule: continue coefficient trends with Δ²theta=0, i.e. theta_j=2*theta_(j−1)−theta_(j−2), starting from the final two estimated coefficients. Then evaluate the same cubic basis sum to obtain log mortality and use EXP to recover the mortality rate. Penalty and SSE use estimated coefficients/training data only.</t>
        </is>
      </c>
    </row>
    <row r="181"/>
    <row r="182" ht="42" customHeight="1">
      <c r="A182" s="2" t="inlineStr">
        <is>
          <t>Formula locations: A8:F32 rates/residuals; H15:L25 coefficients and differences; rows 71 onward design matrix; rows 91 onward normal equations; rows 111 onward D₂; rows 150–174 Cox–de Boor orders 1–4. Full-precision values are retained.</t>
        </is>
      </c>
    </row>
    <row r="184" ht="42" customHeight="1">
      <c r="A184" s="2" t="inlineStr">
        <is>
          <t>Solver reproduction (optional, same objective): first copy fitted theta cells I15:I20 and paste VALUES in place; minimise I10 by changing only those fitted theta cells; GRG Nonlinear, automatic scaling, no constraints, unrestricted signs. The saved matrix formulas already solve this exact quadratic objective.</t>
        </is>
      </c>
    </row>
  </sheetData>
  <mergeCells count="5">
    <mergeCell ref="A184:N184"/>
    <mergeCell ref="A2:N2"/>
    <mergeCell ref="A180:N180"/>
    <mergeCell ref="A182:N182"/>
    <mergeCell ref="A5:N5"/>
  </mergeCells>
  <pageMargins left="0.75" right="0.75" top="1" bottom="1" header="0.5" footer="0.5"/>
  <pageSetup orientation="landscape" paperSize="8"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0"/>
    <pageSetUpPr fitToPage="1"/>
  </sheetPr>
  <dimension ref="A1:AY18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24"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Q2(c): M1 refitted to supplied annual data</t>
        </is>
      </c>
    </row>
    <row r="2" ht="42" customHeight="1">
      <c r="A2" s="2" t="inlineStr">
        <is>
          <t>Fit only the stated training observations. Cubic B-splines have order 4 and support [t_j,t_j+4h). Observed/output rates are annual central death rates (per person-year). The response and fitted coefficients are on the natural-log mortality scale; knot locations are calendar years.</t>
        </is>
      </c>
    </row>
    <row r="3"/>
    <row r="4">
      <c r="A4" s="3" t="inlineStr">
        <is>
          <t>lambda</t>
        </is>
      </c>
      <c r="B4" s="3" t="n">
        <v>1</v>
      </c>
      <c r="C4" s="3" t="inlineStr">
        <is>
          <t>Knot step h</t>
        </is>
      </c>
      <c r="D4" s="3" t="n">
        <v>3</v>
      </c>
    </row>
    <row r="5" ht="42" customHeight="1">
      <c r="A5" s="2" t="inlineStr">
        <is>
          <t>Log-scale objective: L=SSE+(lambda/2)*SUM((theta_j−2*theta_(j−1)+theta_(j−2))^2). Normal equations: [BᵀB+(lambda/2)D₂ᵀD₂]theta=BᵀLN(m). SSE=SUM((LN(m)−B*theta)^2). No nonnegativity constraint, tuning, or extra penalty is used.</t>
        </is>
      </c>
    </row>
    <row r="6"/>
    <row r="7" ht="34" customHeight="1">
      <c r="A7" s="6" t="inlineStr">
        <is>
          <t>Year</t>
        </is>
      </c>
      <c r="B7" s="6" t="inlineStr">
        <is>
          <t>Observed rate</t>
        </is>
      </c>
      <c r="C7" s="6" t="inlineStr">
        <is>
          <t>Fitted / projected</t>
        </is>
      </c>
      <c r="D7" s="6" t="inlineStr">
        <is>
          <t>Period</t>
        </is>
      </c>
      <c r="E7" s="6" t="inlineStr">
        <is>
          <t>Training residual</t>
        </is>
      </c>
      <c r="F7" s="6" t="inlineStr">
        <is>
          <t>Log residual²</t>
        </is>
      </c>
      <c r="G7" s="6" t="inlineStr">
        <is>
          <t>Fitted / projected LN(m)</t>
        </is>
      </c>
    </row>
    <row r="8" ht="31" customHeight="1">
      <c r="A8" s="4" t="n">
        <v>1995</v>
      </c>
      <c r="B8" s="5">
        <f>'M_70_t'!B2</f>
        <v>0.00085662921497227005</v>
      </c>
      <c r="C8" s="5">
        <f>EXP(G8)</f>
        <v>0.00087062189509931544</v>
      </c>
      <c r="D8" s="3" t="inlineStr">
        <is>
          <t>Fitted</t>
        </is>
      </c>
      <c r="E8" s="5">
        <f>LN(B8)-G8</f>
        <v>-0.016202607904041599</v>
      </c>
      <c r="F8" s="5">
        <f>E8^2</f>
        <v>0.00026252450289211129</v>
      </c>
      <c r="G8" s="5">
        <f t="array" ref="G8">MMULT(AO150:AY150,$I$15:$I$25)</f>
        <v>-7.0463027797259352</v>
      </c>
      <c r="H8" s="7" t="inlineStr">
        <is>
          <t>SSE</t>
        </is>
      </c>
      <c r="I8" s="8">
        <f>SUM(F8:F17)</f>
        <v>0.078972716925896413</v>
      </c>
    </row>
    <row r="9" ht="31" customHeight="1">
      <c r="A9" s="4" t="n">
        <v>1996</v>
      </c>
      <c r="B9" s="5">
        <f>'M_70_t'!B3</f>
        <v>0.00082999932605467902</v>
      </c>
      <c r="C9" s="5">
        <f>EXP(G9)</f>
        <v>0.00087295780023666507</v>
      </c>
      <c r="D9" s="3" t="inlineStr">
        <is>
          <t>Fitted</t>
        </is>
      </c>
      <c r="E9" s="5">
        <f>LN(B9)-G9</f>
        <v>-0.050462327073629965</v>
      </c>
      <c r="F9" s="5">
        <f>E9^2</f>
        <v>0.0025464464536860076</v>
      </c>
      <c r="G9" s="5">
        <f t="array" ref="G9">MMULT(AO151:AY151,$I$15:$I$25)</f>
        <v>-7.0436233420826451</v>
      </c>
      <c r="H9" s="7" t="inlineStr">
        <is>
          <t>Penalty (estimated theta only)</t>
        </is>
      </c>
      <c r="I9" s="8">
        <f>SUM(K17:K20)</f>
        <v>0.026319106304199504</v>
      </c>
    </row>
    <row r="10" ht="31" customHeight="1">
      <c r="A10" s="4" t="n">
        <v>1997</v>
      </c>
      <c r="B10" s="5">
        <f>'M_70_t'!B4</f>
        <v>0.00080999953267954299</v>
      </c>
      <c r="C10" s="5">
        <f>EXP(G10)</f>
        <v>0.00087078595154445305</v>
      </c>
      <c r="D10" s="3" t="inlineStr">
        <is>
          <t>Fitted</t>
        </is>
      </c>
      <c r="E10" s="5">
        <f>LN(B10)-G10</f>
        <v>-0.072362525687493573</v>
      </c>
      <c r="F10" s="5">
        <f>E10^2</f>
        <v>0.0052363351238731669</v>
      </c>
      <c r="G10" s="5">
        <f t="array" ref="G10">MMULT(AO152:AY152,$I$15:$I$25)</f>
        <v>-7.0461143615492983</v>
      </c>
      <c r="H10" s="7" t="inlineStr">
        <is>
          <t>L = SSE + lambda/2*Penalty</t>
        </is>
      </c>
      <c r="I10" s="8">
        <f>I8+$B$4/2*I9</f>
        <v>0.092132270077996167</v>
      </c>
    </row>
    <row r="11">
      <c r="A11" s="4" t="n">
        <v>1998</v>
      </c>
      <c r="B11" s="5">
        <f>'M_70_t'!B5</f>
        <v>0.00097750974418243496</v>
      </c>
      <c r="C11" s="5">
        <f>EXP(G11)</f>
        <v>0.00086076143962928635</v>
      </c>
      <c r="D11" s="3" t="inlineStr">
        <is>
          <t>Fitted</t>
        </is>
      </c>
      <c r="E11" s="5">
        <f>LN(B11)-G11</f>
        <v>0.12719086784845945</v>
      </c>
      <c r="F11" s="5">
        <f>E11^2</f>
        <v>0.016177516864044277</v>
      </c>
      <c r="G11" s="5">
        <f t="array" ref="G11">MMULT(AO153:AY153,$I$15:$I$25)</f>
        <v>-7.0576931655298187</v>
      </c>
    </row>
    <row r="12">
      <c r="A12" s="4" t="n">
        <v>1999</v>
      </c>
      <c r="B12" s="5">
        <f>'M_70_t'!B6</f>
        <v>0.00078849179100953001</v>
      </c>
      <c r="C12" s="5">
        <f>EXP(G12)</f>
        <v>0.00084043561735633592</v>
      </c>
      <c r="D12" s="3" t="inlineStr">
        <is>
          <t>Fitted</t>
        </is>
      </c>
      <c r="E12" s="5">
        <f>LN(B12)-G12</f>
        <v>-0.063798354051629147</v>
      </c>
      <c r="F12" s="5">
        <f>E12^2</f>
        <v>0.0040702299796970256</v>
      </c>
      <c r="G12" s="5">
        <f t="array" ref="G12">MMULT(AO154:AY154,$I$15:$I$25)</f>
        <v>-7.0815902084584454</v>
      </c>
    </row>
    <row r="13">
      <c r="A13" s="4" t="n">
        <v>2000</v>
      </c>
      <c r="B13" s="5">
        <f>'M_70_t'!B7</f>
        <v>0.00099667191302858196</v>
      </c>
      <c r="C13" s="5">
        <f>EXP(G13)</f>
        <v>0.00081015217879328873</v>
      </c>
      <c r="D13" s="3" t="inlineStr">
        <is>
          <t>Fitted</t>
        </is>
      </c>
      <c r="E13" s="5">
        <f>LN(B13)-G13</f>
        <v>0.2071995365374244</v>
      </c>
      <c r="F13" s="5">
        <f>E13^2</f>
        <v>0.042931647941323467</v>
      </c>
      <c r="G13" s="5">
        <f t="array" ref="G13">MMULT(AO155:AY155,$I$15:$I$25)</f>
        <v>-7.1182884528906545</v>
      </c>
    </row>
    <row r="14" ht="34" customHeight="1">
      <c r="A14" s="9" t="n">
        <v>2001</v>
      </c>
      <c r="B14" s="10">
        <f>'M_70_t'!B8</f>
        <v>0.00075112817897161302</v>
      </c>
      <c r="C14" s="10">
        <f>EXP(G14)</f>
        <v>0.00077118367098127406</v>
      </c>
      <c r="D14" s="6" t="inlineStr">
        <is>
          <t>Fitted</t>
        </is>
      </c>
      <c r="E14" s="10">
        <f>LN(B14)-G14</f>
        <v>-0.026350254626509084</v>
      </c>
      <c r="F14" s="10">
        <f>E14^2</f>
        <v>0.00069433591888186342</v>
      </c>
      <c r="G14" s="10">
        <f t="array" ref="G14">MMULT(AO156:AY156,$I$15:$I$25)</f>
        <v>-7.1675839884122325</v>
      </c>
      <c r="H14" s="6" t="inlineStr">
        <is>
          <t>Coefficient knot</t>
        </is>
      </c>
      <c r="I14" s="6" t="inlineStr">
        <is>
          <t>theta</t>
        </is>
      </c>
      <c r="J14" s="6" t="inlineStr">
        <is>
          <t>Second difference</t>
        </is>
      </c>
      <c r="K14" s="6" t="inlineStr">
        <is>
          <t>Squared difference</t>
        </is>
      </c>
      <c r="L14" s="6" t="inlineStr">
        <is>
          <t>Status</t>
        </is>
      </c>
    </row>
    <row r="15">
      <c r="A15" s="4" t="n">
        <v>2002</v>
      </c>
      <c r="B15" s="5">
        <f>'M_70_t'!B9</f>
        <v>0.00070428750137965703</v>
      </c>
      <c r="C15" s="5">
        <f>EXP(G15)</f>
        <v>0.00072549063267319668</v>
      </c>
      <c r="D15" s="3" t="inlineStr">
        <is>
          <t>Fitted</t>
        </is>
      </c>
      <c r="E15" s="5">
        <f>LN(B15)-G15</f>
        <v>-0.029661505260532905</v>
      </c>
      <c r="F15" s="5">
        <f>E15^2</f>
        <v>0.00087980489432062123</v>
      </c>
      <c r="G15" s="5">
        <f t="array" ref="G15">MMULT(AO157:AY157,$I$15:$I$25)</f>
        <v>-7.2286623972696349</v>
      </c>
      <c r="H15" s="3" t="n">
        <v>1986</v>
      </c>
      <c r="I15" s="8">
        <f t="array" ref="I15">INDEX(MMULT(MINVERSE($C$91:$H$96),$J$91:$J$96),1,1)</f>
        <v>-7.0619388400348413</v>
      </c>
      <c r="L15" s="3" t="inlineStr">
        <is>
          <t>Estimated</t>
        </is>
      </c>
    </row>
    <row r="16">
      <c r="A16" s="4" t="n">
        <v>2003</v>
      </c>
      <c r="B16" s="5">
        <f>'M_70_t'!B10</f>
        <v>0.00062560881810524603</v>
      </c>
      <c r="C16" s="5">
        <f>EXP(G16)</f>
        <v>0.00067671034166159362</v>
      </c>
      <c r="D16" s="3" t="inlineStr">
        <is>
          <t>Fitted</t>
        </is>
      </c>
      <c r="E16" s="5">
        <f>LN(B16)-G16</f>
        <v>-0.078518041043770026</v>
      </c>
      <c r="F16" s="5">
        <f>E16^2</f>
        <v>0.0061650827693511545</v>
      </c>
      <c r="G16" s="5">
        <f t="array" ref="G16">MMULT(AO158:AY158,$I$15:$I$25)</f>
        <v>-7.2982672323519679</v>
      </c>
      <c r="H16" s="3" t="n">
        <v>1989</v>
      </c>
      <c r="I16" s="8">
        <f t="array" ref="I16">INDEX(MMULT(MINVERSE($C$91:$H$96),$J$91:$J$96),2,1)</f>
        <v>-7.044423085166911</v>
      </c>
      <c r="L16" s="3" t="inlineStr">
        <is>
          <t>Estimated</t>
        </is>
      </c>
    </row>
    <row r="17">
      <c r="A17" s="4" t="n">
        <v>2004</v>
      </c>
      <c r="B17" s="5">
        <f>'M_70_t'!B11</f>
        <v>0.00063014139456242795</v>
      </c>
      <c r="C17" s="5">
        <f>EXP(G17)</f>
        <v>0.00062827565971880462</v>
      </c>
      <c r="D17" s="3" t="inlineStr">
        <is>
          <t>Fitted</t>
        </is>
      </c>
      <c r="E17" s="5">
        <f>LN(B17)-G17</f>
        <v>0.0029652112617375437</v>
      </c>
      <c r="F17" s="5">
        <f>E17^2</f>
        <v>8.7924778267351559e-06</v>
      </c>
      <c r="G17" s="5">
        <f t="array" ref="G17">MMULT(AO159:AY159,$I$15:$I$25)</f>
        <v>-7.3725315392090058</v>
      </c>
      <c r="H17" s="3" t="n">
        <v>1992</v>
      </c>
      <c r="I17" s="8">
        <f t="array" ref="I17">INDEX(MMULT(MINVERSE($C$91:$H$96),$J$91:$J$96),3,1)</f>
        <v>-7.0381854976531271</v>
      </c>
      <c r="J17" s="5">
        <f>I17-2*I16+I15</f>
        <v>-0.01127816735414644</v>
      </c>
      <c r="K17" s="5">
        <f>J17^2</f>
        <v>0.00012719705886813452</v>
      </c>
      <c r="L17" s="3" t="inlineStr">
        <is>
          <t>Estimated</t>
        </is>
      </c>
    </row>
    <row r="18">
      <c r="A18" s="4" t="n">
        <v>2005</v>
      </c>
      <c r="B18" s="5">
        <f>'M_70_t'!B12</f>
        <v>0.000583834238658234</v>
      </c>
      <c r="C18" s="5">
        <f>EXP(G18)</f>
        <v>0.0005824956577499985</v>
      </c>
      <c r="D18" s="3" t="inlineStr">
        <is>
          <t>Projected</t>
        </is>
      </c>
      <c r="G18" s="5">
        <f t="array" ref="G18">MMULT(AO160:AY160,$I$15:$I$25)</f>
        <v>-7.4481888270586438</v>
      </c>
      <c r="H18" s="3" t="n">
        <v>1995</v>
      </c>
      <c r="I18" s="8">
        <f t="array" ref="I18">INDEX(MMULT(MINVERSE($C$91:$H$96),$J$91:$J$96),4,1)</f>
        <v>-7.1489939173994959</v>
      </c>
      <c r="J18" s="5">
        <f>I18-2*I17+I16</f>
        <v>-0.11704600726015268</v>
      </c>
      <c r="K18" s="5">
        <f>J18^2</f>
        <v>0.013699767815543716</v>
      </c>
      <c r="L18" s="3" t="inlineStr">
        <is>
          <t>Estimated</t>
        </is>
      </c>
    </row>
    <row r="19">
      <c r="A19" s="4" t="n">
        <v>2006</v>
      </c>
      <c r="B19" s="5">
        <f>'M_70_t'!B13</f>
        <v>0.00049907284917174999</v>
      </c>
      <c r="C19" s="5">
        <f>EXP(G19)</f>
        <v>0.00053976620827633228</v>
      </c>
      <c r="D19" s="3" t="inlineStr">
        <is>
          <t>Projected</t>
        </is>
      </c>
      <c r="G19" s="5">
        <f t="array" ref="G19">MMULT(AO161:AY161,$I$15:$I$25)</f>
        <v>-7.5243744597912636</v>
      </c>
      <c r="H19" s="3" t="n">
        <v>1998</v>
      </c>
      <c r="I19" s="8">
        <f t="array" ref="I19">INDEX(MMULT(MINVERSE($C$91:$H$96),$J$91:$J$96),5,1)</f>
        <v>-7.3713427632222901</v>
      </c>
      <c r="J19" s="5">
        <f>I19-2*I18+I17</f>
        <v>-0.11154042607642545</v>
      </c>
      <c r="K19" s="5">
        <f>J19^2</f>
        <v>0.01244126664931053</v>
      </c>
      <c r="L19" s="3" t="inlineStr">
        <is>
          <t>Estimated</t>
        </is>
      </c>
    </row>
    <row r="20">
      <c r="A20" s="4" t="n">
        <v>2007</v>
      </c>
      <c r="B20" s="5">
        <f>'M_70_t'!B14</f>
        <v>0.00056241539734553498</v>
      </c>
      <c r="C20" s="5">
        <f>EXP(G20)</f>
        <v>0.00050003909881699005</v>
      </c>
      <c r="D20" s="3" t="inlineStr">
        <is>
          <t>Projected</t>
        </is>
      </c>
      <c r="G20" s="5">
        <f t="array" ref="G20">MMULT(AO162:AY162,$I$15:$I$25)</f>
        <v>-7.6008242649653779</v>
      </c>
      <c r="H20" s="3" t="n">
        <v>2001</v>
      </c>
      <c r="I20" s="8">
        <f t="array" ref="I20">INDEX(MMULT(MINVERSE($C$91:$H$96),$J$91:$J$96),6,1)</f>
        <v>-7.6008242649653788</v>
      </c>
      <c r="J20" s="5">
        <f>I20-2*I19+I18</f>
        <v>-0.0071326559202944395</v>
      </c>
      <c r="K20" s="5">
        <f>J20^2</f>
        <v>5.0874780477311321e-05</v>
      </c>
      <c r="L20" s="3" t="inlineStr">
        <is>
          <t>Estimated</t>
        </is>
      </c>
    </row>
    <row r="21">
      <c r="A21" s="4" t="n">
        <v>2008</v>
      </c>
      <c r="B21" s="5">
        <f>'M_70_t'!B15</f>
        <v>0.00056619807714629496</v>
      </c>
      <c r="C21" s="5">
        <f>EXP(G21)</f>
        <v>0.00046321553266531176</v>
      </c>
      <c r="D21" s="3" t="inlineStr">
        <is>
          <t>Projected</t>
        </is>
      </c>
      <c r="G21" s="5">
        <f t="array" ref="G21">MMULT(AO163:AY163,$I$15:$I$25)</f>
        <v>-7.6773180988797414</v>
      </c>
      <c r="H21" s="3" t="n">
        <v>2004</v>
      </c>
      <c r="I21" s="8">
        <f>2*I20-I19</f>
        <v>-7.8303057667084675</v>
      </c>
      <c r="J21" s="5">
        <f>I21-2*I20+I19</f>
        <v>0</v>
      </c>
      <c r="K21" s="5">
        <f>J21^2</f>
        <v>0</v>
      </c>
      <c r="L21" s="3" t="inlineStr">
        <is>
          <t>Projected: Δ²theta=0</t>
        </is>
      </c>
    </row>
    <row r="22">
      <c r="A22" s="4" t="n">
        <v>2009</v>
      </c>
      <c r="B22" s="5">
        <f>'M_70_t'!B16</f>
        <v>0.00054060671904999295</v>
      </c>
      <c r="C22" s="5">
        <f>EXP(G22)</f>
        <v>0.0004291037045103922</v>
      </c>
      <c r="D22" s="3" t="inlineStr">
        <is>
          <t>Projected</t>
        </is>
      </c>
      <c r="G22" s="5">
        <f t="array" ref="G22">MMULT(AO164:AY164,$I$15:$I$25)</f>
        <v>-7.7538119327941049</v>
      </c>
      <c r="H22" s="3" t="n">
        <v>2007</v>
      </c>
      <c r="I22" s="8">
        <f>2*I21-I20</f>
        <v>-8.0597872684515561</v>
      </c>
      <c r="J22" s="5">
        <f>I22-2*I21+I20</f>
        <v>0</v>
      </c>
      <c r="K22" s="5">
        <f>J22^2</f>
        <v>0</v>
      </c>
      <c r="L22" s="3" t="inlineStr">
        <is>
          <t>Projected: Δ²theta=0</t>
        </is>
      </c>
    </row>
    <row r="23">
      <c r="A23" s="4" t="n">
        <v>2010</v>
      </c>
      <c r="B23" s="5">
        <f>'M_70_t'!B17</f>
        <v>0.000485007361502359</v>
      </c>
      <c r="C23" s="5">
        <f>EXP(G23)</f>
        <v>0.00039750391824097615</v>
      </c>
      <c r="D23" s="3" t="inlineStr">
        <is>
          <t>Projected</t>
        </is>
      </c>
      <c r="G23" s="5">
        <f t="array" ref="G23">MMULT(AO165:AY165,$I$15:$I$25)</f>
        <v>-7.8303057667084666</v>
      </c>
      <c r="H23" s="3" t="n">
        <v>2010</v>
      </c>
      <c r="I23" s="8">
        <f>2*I22-I21</f>
        <v>-8.2892687701946457</v>
      </c>
      <c r="J23" s="5">
        <f>I23-2*I22+I21</f>
        <v>-8.8817841970012523e-16</v>
      </c>
      <c r="K23" s="5">
        <f>J23^2</f>
        <v>7.8886090522101181e-31</v>
      </c>
      <c r="L23" s="3" t="inlineStr">
        <is>
          <t>Projected: Δ²theta=0</t>
        </is>
      </c>
    </row>
    <row r="24">
      <c r="A24" s="4" t="n">
        <v>2011</v>
      </c>
      <c r="B24" s="5">
        <f>'M_70_t'!B18</f>
        <v>0.00052495861425407497</v>
      </c>
      <c r="C24" s="5">
        <f>EXP(G24)</f>
        <v>0.00036823118364176581</v>
      </c>
      <c r="D24" s="3" t="inlineStr">
        <is>
          <t>Projected</t>
        </is>
      </c>
      <c r="G24" s="5">
        <f t="array" ref="G24">MMULT(AO166:AY166,$I$15:$I$25)</f>
        <v>-7.9067996006228309</v>
      </c>
      <c r="H24" s="3" t="n">
        <v>2013</v>
      </c>
      <c r="I24" s="8">
        <f>2*I23-I22</f>
        <v>-8.5187502719377353</v>
      </c>
      <c r="J24" s="5">
        <f>I24-2*I23+I22</f>
        <v>0</v>
      </c>
      <c r="K24" s="5">
        <f>J24^2</f>
        <v>0</v>
      </c>
      <c r="L24" s="3" t="inlineStr">
        <is>
          <t>Projected: Δ²theta=0</t>
        </is>
      </c>
    </row>
    <row r="25">
      <c r="A25" s="4" t="n">
        <v>2012</v>
      </c>
      <c r="B25" s="5">
        <f>'M_70_t'!B19</f>
        <v>0.00044495933160701001</v>
      </c>
      <c r="C25" s="5">
        <f>EXP(G25)</f>
        <v>0.0003411141334310467</v>
      </c>
      <c r="D25" s="3" t="inlineStr">
        <is>
          <t>Projected</t>
        </is>
      </c>
      <c r="G25" s="5">
        <f t="array" ref="G25">MMULT(AO167:AY167,$I$15:$I$25)</f>
        <v>-7.9832934345371926</v>
      </c>
      <c r="H25" s="3" t="n">
        <v>2016</v>
      </c>
      <c r="I25" s="8">
        <f>2*I24-I23</f>
        <v>-8.7482317736808248</v>
      </c>
      <c r="J25" s="5">
        <f>I25-2*I24+I23</f>
        <v>0</v>
      </c>
      <c r="K25" s="5">
        <f>J25^2</f>
        <v>0</v>
      </c>
      <c r="L25" s="3" t="inlineStr">
        <is>
          <t>Projected: Δ²theta=0</t>
        </is>
      </c>
    </row>
    <row r="26">
      <c r="A26" s="4" t="n">
        <v>2013</v>
      </c>
      <c r="B26" s="5">
        <f>'M_70_t'!B20</f>
        <v>0.00041112307243118301</v>
      </c>
      <c r="C26" s="5">
        <f>EXP(G26)</f>
        <v>0.00031599402004913737</v>
      </c>
      <c r="D26" s="3" t="inlineStr">
        <is>
          <t>Projected</t>
        </is>
      </c>
      <c r="G26" s="5">
        <f t="array" ref="G26">MMULT(AO168:AY168,$I$15:$I$25)</f>
        <v>-8.0597872684515561</v>
      </c>
    </row>
    <row r="27">
      <c r="A27" s="4" t="n">
        <v>2014</v>
      </c>
      <c r="B27" s="5">
        <f>'M_70_t'!B21</f>
        <v>0.00044881581519445602</v>
      </c>
      <c r="C27" s="5">
        <f>EXP(G27)</f>
        <v>0.00029272378632472869</v>
      </c>
      <c r="D27" s="3" t="inlineStr">
        <is>
          <t>Projected</t>
        </is>
      </c>
      <c r="G27" s="5">
        <f t="array" ref="G27">MMULT(AO169:AY169,$I$15:$I$25)</f>
        <v>-8.1362811023659187</v>
      </c>
    </row>
    <row r="28">
      <c r="A28" s="4" t="n">
        <v>2015</v>
      </c>
      <c r="B28" s="5">
        <f>'M_70_t'!B22</f>
        <v>0.00040681103089843998</v>
      </c>
      <c r="C28" s="5">
        <f>EXP(G28)</f>
        <v>0.00027116720457862092</v>
      </c>
      <c r="D28" s="3" t="inlineStr">
        <is>
          <t>Projected</t>
        </is>
      </c>
      <c r="G28" s="5">
        <f t="array" ref="G28">MMULT(AO170:AY170,$I$15:$I$25)</f>
        <v>-8.2127749362802831</v>
      </c>
    </row>
    <row r="29">
      <c r="A29" s="4" t="n">
        <v>2016</v>
      </c>
      <c r="B29" s="5">
        <f>'M_70_t'!B23</f>
        <v>0.00049105417911107405</v>
      </c>
      <c r="C29" s="5">
        <f>EXP(G29)</f>
        <v>0.00025119807912505119</v>
      </c>
      <c r="D29" s="3" t="inlineStr">
        <is>
          <t>Projected</t>
        </is>
      </c>
      <c r="G29" s="5">
        <f t="array" ref="G29">MMULT(AO171:AY171,$I$15:$I$25)</f>
        <v>-8.2892687701946457</v>
      </c>
    </row>
    <row r="30">
      <c r="A30" s="4" t="n">
        <v>2017</v>
      </c>
      <c r="B30" s="5">
        <f>'M_70_t'!B24</f>
        <v>0.000460024326747511</v>
      </c>
      <c r="C30" s="5">
        <f>EXP(G30)</f>
        <v>0.00023269950750191268</v>
      </c>
      <c r="D30" s="3" t="inlineStr">
        <is>
          <t>Projected</t>
        </is>
      </c>
      <c r="G30" s="5">
        <f t="array" ref="G30">MMULT(AO172:AY172,$I$15:$I$25)</f>
        <v>-8.3657626041090083</v>
      </c>
    </row>
    <row r="31">
      <c r="A31" s="4" t="n">
        <v>2018</v>
      </c>
      <c r="B31" s="5">
        <f>'M_70_t'!B25</f>
        <v>0.000416641795239238</v>
      </c>
      <c r="C31" s="5">
        <f>EXP(G31)</f>
        <v>0.00021556319610499959</v>
      </c>
      <c r="D31" s="3" t="inlineStr">
        <is>
          <t>Projected</t>
        </is>
      </c>
      <c r="G31" s="5">
        <f t="array" ref="G31">MMULT(AO173:AY173,$I$15:$I$25)</f>
        <v>-8.4422564380233727</v>
      </c>
    </row>
    <row r="32">
      <c r="A32" s="4" t="n">
        <v>2019</v>
      </c>
      <c r="B32" s="5">
        <f>'M_70_t'!B26</f>
        <v>0.00044343997079208703</v>
      </c>
      <c r="C32" s="5">
        <f>EXP(G32)</f>
        <v>0.00019968882621988675</v>
      </c>
      <c r="D32" s="3" t="inlineStr">
        <is>
          <t>Projected</t>
        </is>
      </c>
      <c r="G32" s="5">
        <f t="array" ref="G32">MMULT(AO174:AY174,$I$15:$I$25)</f>
        <v>-8.5187502719377335</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c r="A68" s="1" t="inlineStr">
        <is>
          <t>Training design matrix B and response y=LN(m) (training years only)</t>
        </is>
      </c>
    </row>
    <row r="69"/>
    <row r="70" ht="34" customHeight="1">
      <c r="A70" s="6" t="inlineStr">
        <is>
          <t>Training year</t>
        </is>
      </c>
      <c r="B70" s="6" t="inlineStr">
        <is>
          <t>y = LN(m)</t>
        </is>
      </c>
      <c r="C70" s="6" t="inlineStr">
        <is>
          <t>B1986,4</t>
        </is>
      </c>
      <c r="D70" s="6" t="inlineStr">
        <is>
          <t>B1989,4</t>
        </is>
      </c>
      <c r="E70" s="6" t="inlineStr">
        <is>
          <t>B1992,4</t>
        </is>
      </c>
      <c r="F70" s="6" t="inlineStr">
        <is>
          <t>B1995,4</t>
        </is>
      </c>
      <c r="G70" s="6" t="inlineStr">
        <is>
          <t>B1998,4</t>
        </is>
      </c>
      <c r="H70" s="6" t="inlineStr">
        <is>
          <t>B2001,4</t>
        </is>
      </c>
    </row>
    <row r="71">
      <c r="A71" s="3" t="n">
        <v>1995</v>
      </c>
      <c r="B71" s="5">
        <f>LN('M_70_t'!B2)</f>
        <v>-7.0625053876299768</v>
      </c>
      <c r="C71" s="5">
        <f>AO150</f>
        <v>0.16666666666666666</v>
      </c>
      <c r="D71" s="5">
        <f>AP150</f>
        <v>0.66666666666666663</v>
      </c>
      <c r="E71" s="5">
        <f>AQ150</f>
        <v>0.16666666666666666</v>
      </c>
      <c r="F71" s="5">
        <f>AR150</f>
        <v>0</v>
      </c>
      <c r="G71" s="5">
        <f>AS150</f>
        <v>0</v>
      </c>
      <c r="H71" s="5">
        <f>AT150</f>
        <v>0</v>
      </c>
    </row>
    <row r="72">
      <c r="A72" s="3" t="n">
        <v>1996</v>
      </c>
      <c r="B72" s="5">
        <f>LN('M_70_t'!B3)</f>
        <v>-7.094085669156275</v>
      </c>
      <c r="C72" s="5">
        <f>AO151</f>
        <v>0.049382716049382713</v>
      </c>
      <c r="D72" s="5">
        <f>AP151</f>
        <v>0.57407407407407407</v>
      </c>
      <c r="E72" s="5">
        <f>AQ151</f>
        <v>0.37037037037037035</v>
      </c>
      <c r="F72" s="5">
        <f>AR151</f>
        <v>0.0061728395061728392</v>
      </c>
      <c r="G72" s="5">
        <f>AS151</f>
        <v>0</v>
      </c>
      <c r="H72" s="5">
        <f>AT151</f>
        <v>0</v>
      </c>
    </row>
    <row r="73">
      <c r="A73" s="3" t="n">
        <v>1997</v>
      </c>
      <c r="B73" s="5">
        <f>LN('M_70_t'!B4)</f>
        <v>-7.1184768872367918</v>
      </c>
      <c r="C73" s="5">
        <f>AO152</f>
        <v>0.0061728395061728392</v>
      </c>
      <c r="D73" s="5">
        <f>AP152</f>
        <v>0.37037037037037035</v>
      </c>
      <c r="E73" s="5">
        <f>AQ152</f>
        <v>0.57407407407407407</v>
      </c>
      <c r="F73" s="5">
        <f>AR152</f>
        <v>0.049382716049382713</v>
      </c>
      <c r="G73" s="5">
        <f>AS152</f>
        <v>0</v>
      </c>
      <c r="H73" s="5">
        <f>AT152</f>
        <v>0</v>
      </c>
    </row>
    <row r="74">
      <c r="A74" s="3" t="n">
        <v>1998</v>
      </c>
      <c r="B74" s="5">
        <f>LN('M_70_t'!B5)</f>
        <v>-6.9305022976813593</v>
      </c>
      <c r="C74" s="5">
        <f>AO153</f>
        <v>0</v>
      </c>
      <c r="D74" s="5">
        <f>AP153</f>
        <v>0.16666666666666666</v>
      </c>
      <c r="E74" s="5">
        <f>AQ153</f>
        <v>0.66666666666666663</v>
      </c>
      <c r="F74" s="5">
        <f>AR153</f>
        <v>0.16666666666666666</v>
      </c>
      <c r="G74" s="5">
        <f>AS153</f>
        <v>0</v>
      </c>
      <c r="H74" s="5">
        <f>AT153</f>
        <v>0</v>
      </c>
    </row>
    <row r="75">
      <c r="A75" s="3" t="n">
        <v>1999</v>
      </c>
      <c r="B75" s="5">
        <f>LN('M_70_t'!B6)</f>
        <v>-7.1453885625100737</v>
      </c>
      <c r="C75" s="5">
        <f>AO154</f>
        <v>0</v>
      </c>
      <c r="D75" s="5">
        <f>AP154</f>
        <v>0.049382716049382713</v>
      </c>
      <c r="E75" s="5">
        <f>AQ154</f>
        <v>0.57407407407407407</v>
      </c>
      <c r="F75" s="5">
        <f>AR154</f>
        <v>0.37037037037037035</v>
      </c>
      <c r="G75" s="5">
        <f>AS154</f>
        <v>0.0061728395061728392</v>
      </c>
      <c r="H75" s="5">
        <f>AT154</f>
        <v>0</v>
      </c>
    </row>
    <row r="76">
      <c r="A76" s="3" t="n">
        <v>2000</v>
      </c>
      <c r="B76" s="5">
        <f>LN('M_70_t'!B7)</f>
        <v>-6.9110889163532301</v>
      </c>
      <c r="C76" s="5">
        <f>AO155</f>
        <v>0</v>
      </c>
      <c r="D76" s="5">
        <f>AP155</f>
        <v>0.0061728395061728392</v>
      </c>
      <c r="E76" s="5">
        <f>AQ155</f>
        <v>0.37037037037037035</v>
      </c>
      <c r="F76" s="5">
        <f>AR155</f>
        <v>0.57407407407407407</v>
      </c>
      <c r="G76" s="5">
        <f>AS155</f>
        <v>0.049382716049382713</v>
      </c>
      <c r="H76" s="5">
        <f>AT155</f>
        <v>0</v>
      </c>
    </row>
    <row r="77">
      <c r="A77" s="3" t="n">
        <v>2001</v>
      </c>
      <c r="B77" s="5">
        <f>LN('M_70_t'!B8)</f>
        <v>-7.1939342430387416</v>
      </c>
      <c r="C77" s="5">
        <f>AO156</f>
        <v>0</v>
      </c>
      <c r="D77" s="5">
        <f>AP156</f>
        <v>0</v>
      </c>
      <c r="E77" s="5">
        <f>AQ156</f>
        <v>0.16666666666666666</v>
      </c>
      <c r="F77" s="5">
        <f>AR156</f>
        <v>0.66666666666666663</v>
      </c>
      <c r="G77" s="5">
        <f>AS156</f>
        <v>0.16666666666666666</v>
      </c>
      <c r="H77" s="5">
        <f>AT156</f>
        <v>0</v>
      </c>
    </row>
    <row r="78">
      <c r="A78" s="3" t="n">
        <v>2002</v>
      </c>
      <c r="B78" s="5">
        <f>LN('M_70_t'!B9)</f>
        <v>-7.2583239025301687</v>
      </c>
      <c r="C78" s="5">
        <f>AO157</f>
        <v>0</v>
      </c>
      <c r="D78" s="5">
        <f>AP157</f>
        <v>0</v>
      </c>
      <c r="E78" s="5">
        <f>AQ157</f>
        <v>0.049382716049382713</v>
      </c>
      <c r="F78" s="5">
        <f>AR157</f>
        <v>0.57407407407407407</v>
      </c>
      <c r="G78" s="5">
        <f>AS157</f>
        <v>0.37037037037037035</v>
      </c>
      <c r="H78" s="5">
        <f>AT157</f>
        <v>0.0061728395061728392</v>
      </c>
    </row>
    <row r="79">
      <c r="A79" s="3" t="n">
        <v>2003</v>
      </c>
      <c r="B79" s="5">
        <f>LN('M_70_t'!B10)</f>
        <v>-7.376785273395738</v>
      </c>
      <c r="C79" s="5">
        <f>AO158</f>
        <v>0</v>
      </c>
      <c r="D79" s="5">
        <f>AP158</f>
        <v>0</v>
      </c>
      <c r="E79" s="5">
        <f>AQ158</f>
        <v>0.0061728395061728392</v>
      </c>
      <c r="F79" s="5">
        <f>AR158</f>
        <v>0.37037037037037035</v>
      </c>
      <c r="G79" s="5">
        <f>AS158</f>
        <v>0.57407407407407407</v>
      </c>
      <c r="H79" s="5">
        <f>AT158</f>
        <v>0.049382716049382713</v>
      </c>
    </row>
    <row r="80">
      <c r="A80" s="3" t="n">
        <v>2004</v>
      </c>
      <c r="B80" s="5">
        <f>LN('M_70_t'!B11)</f>
        <v>-7.3695663279472674</v>
      </c>
      <c r="C80" s="5">
        <f>AO159</f>
        <v>0</v>
      </c>
      <c r="D80" s="5">
        <f>AP159</f>
        <v>0</v>
      </c>
      <c r="E80" s="5">
        <f>AQ159</f>
        <v>0</v>
      </c>
      <c r="F80" s="5">
        <f>AR159</f>
        <v>0.16666666666666666</v>
      </c>
      <c r="G80" s="5">
        <f>AS159</f>
        <v>0.66666666666666663</v>
      </c>
      <c r="H80" s="5">
        <f>AT159</f>
        <v>0.16666666666666666</v>
      </c>
    </row>
    <row r="81"/>
    <row r="82"/>
    <row r="83"/>
    <row r="84"/>
    <row r="85"/>
    <row r="86"/>
    <row r="87"/>
    <row r="88">
      <c r="A88" s="1" t="inlineStr">
        <is>
          <t>Penalised normal matrix G = BᵀB + (lambda/2)D₂ᵀD₂, and RHS = Bᵀy</t>
        </is>
      </c>
    </row>
    <row r="89"/>
    <row r="90" ht="34" customHeight="1">
      <c r="C90" s="6" t="n">
        <v>1986</v>
      </c>
      <c r="D90" s="6" t="n">
        <v>1989</v>
      </c>
      <c r="E90" s="6" t="n">
        <v>1992</v>
      </c>
      <c r="F90" s="6" t="n">
        <v>1995</v>
      </c>
      <c r="G90" s="6" t="n">
        <v>1998</v>
      </c>
      <c r="H90" s="6" t="n">
        <v>2001</v>
      </c>
      <c r="J90" s="6" t="inlineStr">
        <is>
          <t>Bᵀy</t>
        </is>
      </c>
    </row>
    <row r="91">
      <c r="A91" s="3" t="n">
        <v>1986</v>
      </c>
      <c r="C91" s="5">
        <f>SUMPRODUCT(C$71:C$80,C$71:C$80)+$B$4/2*SUMPRODUCT(C$111:C$114,C$111:C$114)</f>
        <v>0.53025453436976067</v>
      </c>
      <c r="D91" s="5">
        <f>SUMPRODUCT(C$71:C$80,D$71:D$80)+$B$4/2*SUMPRODUCT(C$111:C$114,D$111:D$114)</f>
        <v>-0.85825331504343849</v>
      </c>
      <c r="E91" s="5">
        <f>SUMPRODUCT(C$71:C$80,E$71:E$80)+$B$4/2*SUMPRODUCT(C$111:C$114,E$111:E$114)</f>
        <v>0.54961133973479648</v>
      </c>
      <c r="F91" s="5">
        <f>SUMPRODUCT(C$71:C$80,F$71:F$80)+$B$4/2*SUMPRODUCT(C$111:C$114,F$111:F$114)</f>
        <v>0.00060966316110349023</v>
      </c>
      <c r="G91" s="5">
        <f>SUMPRODUCT(C$71:C$80,G$71:G$80)+$B$4/2*SUMPRODUCT(C$111:C$114,G$111:G$114)</f>
        <v>0</v>
      </c>
      <c r="H91" s="5">
        <f>SUMPRODUCT(C$71:C$80,H$71:H$80)+$B$4/2*SUMPRODUCT(C$111:C$114,H$111:H$114)</f>
        <v>0</v>
      </c>
      <c r="J91" s="5">
        <f>SUMPRODUCT(C$71:C$80,$B$71:$B$80)</f>
        <v>-1.5713506648549158</v>
      </c>
    </row>
    <row r="92">
      <c r="A92" s="3" t="n">
        <v>1989</v>
      </c>
      <c r="C92" s="5">
        <f>SUMPRODUCT(D$71:D$80,C$71:C$80)+$B$4/2*SUMPRODUCT(D$111:D$114,C$111:C$114)</f>
        <v>-0.85825331504343849</v>
      </c>
      <c r="D92" s="5">
        <f>SUMPRODUCT(D$71:D$80,D$71:D$80)+$B$4/2*SUMPRODUCT(D$111:D$114,D$111:D$114)</f>
        <v>3.4414342325864959</v>
      </c>
      <c r="E92" s="5">
        <f>SUMPRODUCT(D$71:D$80,E$71:E$80)+$B$4/2*SUMPRODUCT(D$111:D$114,E$111:E$114)</f>
        <v>-1.321902149062643</v>
      </c>
      <c r="F92" s="5">
        <f>SUMPRODUCT(D$71:D$80,F$71:F$80)+$B$4/2*SUMPRODUCT(D$111:D$114,F$111:F$114)</f>
        <v>0.57144490169181528</v>
      </c>
      <c r="G92" s="5">
        <f>SUMPRODUCT(D$71:D$80,G$71:G$80)+$B$4/2*SUMPRODUCT(D$111:D$114,G$111:G$114)</f>
        <v>0.00060966316110349023</v>
      </c>
      <c r="H92" s="5">
        <f>SUMPRODUCT(D$71:D$80,H$71:H$80)+$B$4/2*SUMPRODUCT(D$111:D$114,H$111:H$114)</f>
        <v>0</v>
      </c>
      <c r="J92" s="5">
        <f>SUMPRODUCT(D$71:D$80,$B$71:$B$80)</f>
        <v>-12.967943961627215</v>
      </c>
    </row>
    <row r="93">
      <c r="A93" s="3" t="n">
        <v>1992</v>
      </c>
      <c r="C93" s="5">
        <f>SUMPRODUCT(E$71:E$80,C$71:C$80)+$B$4/2*SUMPRODUCT(E$111:E$114,C$111:C$114)</f>
        <v>0.54961133973479648</v>
      </c>
      <c r="D93" s="5">
        <f>SUMPRODUCT(E$71:E$80,D$71:D$80)+$B$4/2*SUMPRODUCT(E$111:E$114,D$111:D$114)</f>
        <v>-1.321902149062643</v>
      </c>
      <c r="E93" s="5">
        <f>SUMPRODUCT(E$71:E$80,E$71:E$80)+$B$4/2*SUMPRODUCT(E$111:E$114,E$111:E$114)</f>
        <v>4.4359472641365638</v>
      </c>
      <c r="F93" s="5">
        <f>SUMPRODUCT(E$71:E$80,F$71:F$80)+$B$4/2*SUMPRODUCT(E$111:E$114,F$111:F$114)</f>
        <v>-1.2912665752171928</v>
      </c>
      <c r="G93" s="5">
        <f>SUMPRODUCT(E$71:E$80,G$71:G$80)+$B$4/2*SUMPRODUCT(E$111:E$114,G$111:G$114)</f>
        <v>0.57144490169181528</v>
      </c>
      <c r="H93" s="5">
        <f>SUMPRODUCT(E$71:E$80,H$71:H$80)+$B$4/2*SUMPRODUCT(E$111:E$114,H$111:H$114)</f>
        <v>0.00060966316110349023</v>
      </c>
      <c r="J93" s="5">
        <f>SUMPRODUCT(E$71:E$80,$B$71:$B$80)</f>
        <v>-20.775996645853752</v>
      </c>
    </row>
    <row r="94">
      <c r="A94" s="3" t="n">
        <v>1995</v>
      </c>
      <c r="C94" s="5">
        <f>SUMPRODUCT(F$71:F$80,C$71:C$80)+$B$4/2*SUMPRODUCT(F$111:F$114,C$111:C$114)</f>
        <v>0.00060966316110349023</v>
      </c>
      <c r="D94" s="5">
        <f>SUMPRODUCT(F$71:F$80,D$71:D$80)+$B$4/2*SUMPRODUCT(F$111:F$114,D$111:D$114)</f>
        <v>0.57144490169181528</v>
      </c>
      <c r="E94" s="5">
        <f>SUMPRODUCT(F$71:F$80,E$71:E$80)+$B$4/2*SUMPRODUCT(F$111:F$114,E$111:E$114)</f>
        <v>-1.2912665752171928</v>
      </c>
      <c r="F94" s="5">
        <f>SUMPRODUCT(F$71:F$80,F$71:F$80)+$B$4/2*SUMPRODUCT(F$111:F$114,F$111:F$114)</f>
        <v>4.4359472641365638</v>
      </c>
      <c r="G94" s="5">
        <f>SUMPRODUCT(F$71:F$80,G$71:G$80)+$B$4/2*SUMPRODUCT(F$111:F$114,G$111:G$114)</f>
        <v>-1.321902149062643</v>
      </c>
      <c r="H94" s="5">
        <f>SUMPRODUCT(F$71:F$80,H$71:H$80)+$B$4/2*SUMPRODUCT(F$111:F$114,H$111:H$114)</f>
        <v>0.54961133973479648</v>
      </c>
      <c r="J94" s="5">
        <f>SUMPRODUCT(F$71:F$80,$B$71:$B$80)</f>
        <v>-21.087496754430326</v>
      </c>
    </row>
    <row r="95">
      <c r="A95" s="3" t="n">
        <v>1998</v>
      </c>
      <c r="C95" s="5">
        <f>SUMPRODUCT(G$71:G$80,C$71:C$80)+$B$4/2*SUMPRODUCT(G$111:G$114,C$111:C$114)</f>
        <v>0</v>
      </c>
      <c r="D95" s="5">
        <f>SUMPRODUCT(G$71:G$80,D$71:D$80)+$B$4/2*SUMPRODUCT(G$111:G$114,D$111:D$114)</f>
        <v>0.00060966316110349023</v>
      </c>
      <c r="E95" s="5">
        <f>SUMPRODUCT(G$71:G$80,E$71:E$80)+$B$4/2*SUMPRODUCT(G$111:G$114,E$111:E$114)</f>
        <v>0.57144490169181528</v>
      </c>
      <c r="F95" s="5">
        <f>SUMPRODUCT(G$71:G$80,F$71:F$80)+$B$4/2*SUMPRODUCT(G$111:G$114,F$111:F$114)</f>
        <v>-1.321902149062643</v>
      </c>
      <c r="G95" s="5">
        <f>SUMPRODUCT(G$71:G$80,G$71:G$80)+$B$4/2*SUMPRODUCT(G$111:G$114,G$111:G$114)</f>
        <v>3.4414342325864959</v>
      </c>
      <c r="H95" s="5">
        <f>SUMPRODUCT(G$71:G$80,H$71:H$80)+$B$4/2*SUMPRODUCT(G$111:G$114,H$111:H$114)</f>
        <v>-0.85825331504343849</v>
      </c>
      <c r="J95" s="5">
        <f>SUMPRODUCT(G$71:G$80,$B$71:$B$80)</f>
        <v>-13.420518225008028</v>
      </c>
    </row>
    <row r="96">
      <c r="A96" s="3" t="n">
        <v>2001</v>
      </c>
      <c r="C96" s="5">
        <f>SUMPRODUCT(H$71:H$80,C$71:C$80)+$B$4/2*SUMPRODUCT(H$111:H$114,C$111:C$114)</f>
        <v>0</v>
      </c>
      <c r="D96" s="5">
        <f>SUMPRODUCT(H$71:H$80,D$71:D$80)+$B$4/2*SUMPRODUCT(H$111:H$114,D$111:D$114)</f>
        <v>0</v>
      </c>
      <c r="E96" s="5">
        <f>SUMPRODUCT(H$71:H$80,E$71:E$80)+$B$4/2*SUMPRODUCT(H$111:H$114,E$111:E$114)</f>
        <v>0.00060966316110349023</v>
      </c>
      <c r="F96" s="5">
        <f>SUMPRODUCT(H$71:H$80,F$71:F$80)+$B$4/2*SUMPRODUCT(H$111:H$114,F$111:F$114)</f>
        <v>0.54961133973479648</v>
      </c>
      <c r="G96" s="5">
        <f>SUMPRODUCT(H$71:H$80,G$71:G$80)+$B$4/2*SUMPRODUCT(H$111:H$114,G$111:G$114)</f>
        <v>-0.85825331504343849</v>
      </c>
      <c r="H96" s="5">
        <f>SUMPRODUCT(H$71:H$80,H$71:H$80)+$B$4/2*SUMPRODUCT(H$111:H$114,H$111:H$114)</f>
        <v>0.53025453436976067</v>
      </c>
      <c r="J96" s="5">
        <f>SUMPRODUCT(H$71:H$80,$B$71:$B$80)</f>
        <v>-1.6373512157053844</v>
      </c>
    </row>
    <row r="97"/>
    <row r="98"/>
    <row r="99"/>
    <row r="100"/>
    <row r="101"/>
    <row r="102"/>
    <row r="103"/>
    <row r="104"/>
    <row r="105"/>
    <row r="106"/>
    <row r="107"/>
    <row r="108">
      <c r="A108" s="1" t="inlineStr">
        <is>
          <t>Second-difference matrix D₂: rows [1, −2, 1]</t>
        </is>
      </c>
    </row>
    <row r="109"/>
    <row r="110"/>
    <row r="111">
      <c r="C111" s="3" t="n">
        <v>1</v>
      </c>
      <c r="D111" s="3" t="n">
        <v>-2</v>
      </c>
      <c r="E111" s="3" t="n">
        <v>1</v>
      </c>
      <c r="F111" s="3" t="n">
        <v>0</v>
      </c>
      <c r="G111" s="3" t="n">
        <v>0</v>
      </c>
      <c r="H111" s="3" t="n">
        <v>0</v>
      </c>
    </row>
    <row r="112">
      <c r="C112" s="3" t="n">
        <v>0</v>
      </c>
      <c r="D112" s="3" t="n">
        <v>1</v>
      </c>
      <c r="E112" s="3" t="n">
        <v>-2</v>
      </c>
      <c r="F112" s="3" t="n">
        <v>1</v>
      </c>
      <c r="G112" s="3" t="n">
        <v>0</v>
      </c>
      <c r="H112" s="3" t="n">
        <v>0</v>
      </c>
    </row>
    <row r="113">
      <c r="C113" s="3" t="n">
        <v>0</v>
      </c>
      <c r="D113" s="3" t="n">
        <v>0</v>
      </c>
      <c r="E113" s="3" t="n">
        <v>1</v>
      </c>
      <c r="F113" s="3" t="n">
        <v>-2</v>
      </c>
      <c r="G113" s="3" t="n">
        <v>1</v>
      </c>
      <c r="H113" s="3" t="n">
        <v>0</v>
      </c>
    </row>
    <row r="114">
      <c r="C114" s="3" t="n">
        <v>0</v>
      </c>
      <c r="D114" s="3" t="n">
        <v>0</v>
      </c>
      <c r="E114" s="3" t="n">
        <v>0</v>
      </c>
      <c r="F114" s="3" t="n">
        <v>1</v>
      </c>
      <c r="G114" s="3" t="n">
        <v>-2</v>
      </c>
      <c r="H114" s="3" t="n">
        <v>1</v>
      </c>
    </row>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ht="34" customHeight="1">
      <c r="A149" s="6" t="inlineStr">
        <is>
          <t>Evaluation year</t>
        </is>
      </c>
      <c r="B149" s="6" t="inlineStr">
        <is>
          <t>B1986,k=1</t>
        </is>
      </c>
      <c r="C149" s="6" t="inlineStr">
        <is>
          <t>B1989,k=1</t>
        </is>
      </c>
      <c r="D149" s="6" t="inlineStr">
        <is>
          <t>B1992,k=1</t>
        </is>
      </c>
      <c r="E149" s="6" t="inlineStr">
        <is>
          <t>B1995,k=1</t>
        </is>
      </c>
      <c r="F149" s="6" t="inlineStr">
        <is>
          <t>B1998,k=1</t>
        </is>
      </c>
      <c r="G149" s="6" t="inlineStr">
        <is>
          <t>B2001,k=1</t>
        </is>
      </c>
      <c r="H149" s="6" t="inlineStr">
        <is>
          <t>B2004,k=1</t>
        </is>
      </c>
      <c r="I149" s="6" t="inlineStr">
        <is>
          <t>B2007,k=1</t>
        </is>
      </c>
      <c r="J149" s="6" t="inlineStr">
        <is>
          <t>B2010,k=1</t>
        </is>
      </c>
      <c r="K149" s="6" t="inlineStr">
        <is>
          <t>B2013,k=1</t>
        </is>
      </c>
      <c r="L149" s="6" t="inlineStr">
        <is>
          <t>B2016,k=1</t>
        </is>
      </c>
      <c r="M149" s="6" t="inlineStr">
        <is>
          <t>B2019,k=1</t>
        </is>
      </c>
      <c r="N149" s="6" t="inlineStr">
        <is>
          <t>B2022,k=1</t>
        </is>
      </c>
      <c r="O149" s="6" t="inlineStr">
        <is>
          <t>B2025,k=1</t>
        </is>
      </c>
      <c r="P149" s="6" t="inlineStr">
        <is>
          <t>B1986,k=2</t>
        </is>
      </c>
      <c r="Q149" s="6" t="inlineStr">
        <is>
          <t>B1989,k=2</t>
        </is>
      </c>
      <c r="R149" s="6" t="inlineStr">
        <is>
          <t>B1992,k=2</t>
        </is>
      </c>
      <c r="S149" s="6" t="inlineStr">
        <is>
          <t>B1995,k=2</t>
        </is>
      </c>
      <c r="T149" s="6" t="inlineStr">
        <is>
          <t>B1998,k=2</t>
        </is>
      </c>
      <c r="U149" s="6" t="inlineStr">
        <is>
          <t>B2001,k=2</t>
        </is>
      </c>
      <c r="V149" s="6" t="inlineStr">
        <is>
          <t>B2004,k=2</t>
        </is>
      </c>
      <c r="W149" s="6" t="inlineStr">
        <is>
          <t>B2007,k=2</t>
        </is>
      </c>
      <c r="X149" s="6" t="inlineStr">
        <is>
          <t>B2010,k=2</t>
        </is>
      </c>
      <c r="Y149" s="6" t="inlineStr">
        <is>
          <t>B2013,k=2</t>
        </is>
      </c>
      <c r="Z149" s="6" t="inlineStr">
        <is>
          <t>B2016,k=2</t>
        </is>
      </c>
      <c r="AA149" s="6" t="inlineStr">
        <is>
          <t>B2019,k=2</t>
        </is>
      </c>
      <c r="AB149" s="6" t="inlineStr">
        <is>
          <t>B2022,k=2</t>
        </is>
      </c>
      <c r="AC149" s="6" t="inlineStr">
        <is>
          <t>B1986,k=3</t>
        </is>
      </c>
      <c r="AD149" s="6" t="inlineStr">
        <is>
          <t>B1989,k=3</t>
        </is>
      </c>
      <c r="AE149" s="6" t="inlineStr">
        <is>
          <t>B1992,k=3</t>
        </is>
      </c>
      <c r="AF149" s="6" t="inlineStr">
        <is>
          <t>B1995,k=3</t>
        </is>
      </c>
      <c r="AG149" s="6" t="inlineStr">
        <is>
          <t>B1998,k=3</t>
        </is>
      </c>
      <c r="AH149" s="6" t="inlineStr">
        <is>
          <t>B2001,k=3</t>
        </is>
      </c>
      <c r="AI149" s="6" t="inlineStr">
        <is>
          <t>B2004,k=3</t>
        </is>
      </c>
      <c r="AJ149" s="6" t="inlineStr">
        <is>
          <t>B2007,k=3</t>
        </is>
      </c>
      <c r="AK149" s="6" t="inlineStr">
        <is>
          <t>B2010,k=3</t>
        </is>
      </c>
      <c r="AL149" s="6" t="inlineStr">
        <is>
          <t>B2013,k=3</t>
        </is>
      </c>
      <c r="AM149" s="6" t="inlineStr">
        <is>
          <t>B2016,k=3</t>
        </is>
      </c>
      <c r="AN149" s="6" t="inlineStr">
        <is>
          <t>B2019,k=3</t>
        </is>
      </c>
      <c r="AO149" s="6" t="inlineStr">
        <is>
          <t>B1986,k=4</t>
        </is>
      </c>
      <c r="AP149" s="6" t="inlineStr">
        <is>
          <t>B1989,k=4</t>
        </is>
      </c>
      <c r="AQ149" s="6" t="inlineStr">
        <is>
          <t>B1992,k=4</t>
        </is>
      </c>
      <c r="AR149" s="6" t="inlineStr">
        <is>
          <t>B1995,k=4</t>
        </is>
      </c>
      <c r="AS149" s="6" t="inlineStr">
        <is>
          <t>B1998,k=4</t>
        </is>
      </c>
      <c r="AT149" s="6" t="inlineStr">
        <is>
          <t>B2001,k=4</t>
        </is>
      </c>
      <c r="AU149" s="6" t="inlineStr">
        <is>
          <t>B2004,k=4</t>
        </is>
      </c>
      <c r="AV149" s="6" t="inlineStr">
        <is>
          <t>B2007,k=4</t>
        </is>
      </c>
      <c r="AW149" s="6" t="inlineStr">
        <is>
          <t>B2010,k=4</t>
        </is>
      </c>
      <c r="AX149" s="6" t="inlineStr">
        <is>
          <t>B2013,k=4</t>
        </is>
      </c>
      <c r="AY149" s="6" t="inlineStr">
        <is>
          <t>B2016,k=4</t>
        </is>
      </c>
    </row>
    <row r="150">
      <c r="A150" s="3" t="n">
        <v>1995</v>
      </c>
      <c r="B150" s="5">
        <f>IF(AND($A150&gt;=1986,$A150&lt;1989),1,0)</f>
        <v>0</v>
      </c>
      <c r="C150" s="5">
        <f>IF(AND($A150&gt;=1989,$A150&lt;1992),1,0)</f>
        <v>0</v>
      </c>
      <c r="D150" s="5">
        <f>IF(AND($A150&gt;=1992,$A150&lt;1995),1,0)</f>
        <v>0</v>
      </c>
      <c r="E150" s="5">
        <f>IF(AND($A150&gt;=1995,$A150&lt;1998),1,0)</f>
        <v>1</v>
      </c>
      <c r="F150" s="5">
        <f>IF(AND($A150&gt;=1998,$A150&lt;2001),1,0)</f>
        <v>0</v>
      </c>
      <c r="G150" s="5">
        <f>IF(AND($A150&gt;=2001,$A150&lt;2004),1,0)</f>
        <v>0</v>
      </c>
      <c r="H150" s="5">
        <f>IF(AND($A150&gt;=2004,$A150&lt;2007),1,0)</f>
        <v>0</v>
      </c>
      <c r="I150" s="5">
        <f>IF(AND($A150&gt;=2007,$A150&lt;2010),1,0)</f>
        <v>0</v>
      </c>
      <c r="J150" s="5">
        <f>IF(AND($A150&gt;=2010,$A150&lt;2013),1,0)</f>
        <v>0</v>
      </c>
      <c r="K150" s="5">
        <f>IF(AND($A150&gt;=2013,$A150&lt;2016),1,0)</f>
        <v>0</v>
      </c>
      <c r="L150" s="5">
        <f>IF(AND($A150&gt;=2016,$A150&lt;2019),1,0)</f>
        <v>0</v>
      </c>
      <c r="M150" s="5">
        <f>IF(AND($A150&gt;=2019,$A150&lt;2022),1,0)</f>
        <v>0</v>
      </c>
      <c r="N150" s="5">
        <f>IF(AND($A150&gt;=2022,$A150&lt;2025),1,0)</f>
        <v>0</v>
      </c>
      <c r="O150" s="5">
        <f>IF(AND($A150&gt;=2025,$A150&lt;2028),1,0)</f>
        <v>0</v>
      </c>
      <c r="P150" s="5">
        <f>($A150-1986)/((2-1)*$D$4)*B150+(1986+2*$D$4-$A150)/((2-1)*$D$4)*C150</f>
        <v>0</v>
      </c>
      <c r="Q150" s="5">
        <f>($A150-1989)/((2-1)*$D$4)*C150+(1989+2*$D$4-$A150)/((2-1)*$D$4)*D150</f>
        <v>0</v>
      </c>
      <c r="R150" s="5">
        <f>($A150-1992)/((2-1)*$D$4)*D150+(1992+2*$D$4-$A150)/((2-1)*$D$4)*E150</f>
        <v>1</v>
      </c>
      <c r="S150" s="5">
        <f>($A150-1995)/((2-1)*$D$4)*E150+(1995+2*$D$4-$A150)/((2-1)*$D$4)*F150</f>
        <v>0</v>
      </c>
      <c r="T150" s="5">
        <f>($A150-1998)/((2-1)*$D$4)*F150+(1998+2*$D$4-$A150)/((2-1)*$D$4)*G150</f>
        <v>0</v>
      </c>
      <c r="U150" s="5">
        <f>($A150-2001)/((2-1)*$D$4)*G150+(2001+2*$D$4-$A150)/((2-1)*$D$4)*H150</f>
        <v>0</v>
      </c>
      <c r="V150" s="5">
        <f>($A150-2004)/((2-1)*$D$4)*H150+(2004+2*$D$4-$A150)/((2-1)*$D$4)*I150</f>
        <v>0</v>
      </c>
      <c r="W150" s="5">
        <f>($A150-2007)/((2-1)*$D$4)*I150+(2007+2*$D$4-$A150)/((2-1)*$D$4)*J150</f>
        <v>0</v>
      </c>
      <c r="X150" s="5">
        <f>($A150-2010)/((2-1)*$D$4)*J150+(2010+2*$D$4-$A150)/((2-1)*$D$4)*K150</f>
        <v>0</v>
      </c>
      <c r="Y150" s="5">
        <f>($A150-2013)/((2-1)*$D$4)*K150+(2013+2*$D$4-$A150)/((2-1)*$D$4)*L150</f>
        <v>0</v>
      </c>
      <c r="Z150" s="5">
        <f>($A150-2016)/((2-1)*$D$4)*L150+(2016+2*$D$4-$A150)/((2-1)*$D$4)*M150</f>
        <v>0</v>
      </c>
      <c r="AA150" s="5">
        <f>($A150-2019)/((2-1)*$D$4)*M150+(2019+2*$D$4-$A150)/((2-1)*$D$4)*N150</f>
        <v>0</v>
      </c>
      <c r="AB150" s="5">
        <f>($A150-2022)/((2-1)*$D$4)*N150+(2022+2*$D$4-$A150)/((2-1)*$D$4)*O150</f>
        <v>0</v>
      </c>
      <c r="AC150" s="5">
        <f>($A150-1986)/((3-1)*$D$4)*P150+(1986+3*$D$4-$A150)/((3-1)*$D$4)*Q150</f>
        <v>0</v>
      </c>
      <c r="AD150" s="5">
        <f>($A150-1989)/((3-1)*$D$4)*Q150+(1989+3*$D$4-$A150)/((3-1)*$D$4)*R150</f>
        <v>0.5</v>
      </c>
      <c r="AE150" s="5">
        <f>($A150-1992)/((3-1)*$D$4)*R150+(1992+3*$D$4-$A150)/((3-1)*$D$4)*S150</f>
        <v>0.5</v>
      </c>
      <c r="AF150" s="5">
        <f>($A150-1995)/((3-1)*$D$4)*S150+(1995+3*$D$4-$A150)/((3-1)*$D$4)*T150</f>
        <v>0</v>
      </c>
      <c r="AG150" s="5">
        <f>($A150-1998)/((3-1)*$D$4)*T150+(1998+3*$D$4-$A150)/((3-1)*$D$4)*U150</f>
        <v>0</v>
      </c>
      <c r="AH150" s="5">
        <f>($A150-2001)/((3-1)*$D$4)*U150+(2001+3*$D$4-$A150)/((3-1)*$D$4)*V150</f>
        <v>0</v>
      </c>
      <c r="AI150" s="5">
        <f>($A150-2004)/((3-1)*$D$4)*V150+(2004+3*$D$4-$A150)/((3-1)*$D$4)*W150</f>
        <v>0</v>
      </c>
      <c r="AJ150" s="5">
        <f>($A150-2007)/((3-1)*$D$4)*W150+(2007+3*$D$4-$A150)/((3-1)*$D$4)*X150</f>
        <v>0</v>
      </c>
      <c r="AK150" s="5">
        <f>($A150-2010)/((3-1)*$D$4)*X150+(2010+3*$D$4-$A150)/((3-1)*$D$4)*Y150</f>
        <v>0</v>
      </c>
      <c r="AL150" s="5">
        <f>($A150-2013)/((3-1)*$D$4)*Y150+(2013+3*$D$4-$A150)/((3-1)*$D$4)*Z150</f>
        <v>0</v>
      </c>
      <c r="AM150" s="5">
        <f>($A150-2016)/((3-1)*$D$4)*Z150+(2016+3*$D$4-$A150)/((3-1)*$D$4)*AA150</f>
        <v>0</v>
      </c>
      <c r="AN150" s="5">
        <f>($A150-2019)/((3-1)*$D$4)*AA150+(2019+3*$D$4-$A150)/((3-1)*$D$4)*AB150</f>
        <v>0</v>
      </c>
      <c r="AO150" s="5">
        <f>($A150-1986)/((4-1)*$D$4)*AC150+(1986+4*$D$4-$A150)/((4-1)*$D$4)*AD150</f>
        <v>0.16666666666666666</v>
      </c>
      <c r="AP150" s="5">
        <f>($A150-1989)/((4-1)*$D$4)*AD150+(1989+4*$D$4-$A150)/((4-1)*$D$4)*AE150</f>
        <v>0.66666666666666663</v>
      </c>
      <c r="AQ150" s="5">
        <f>($A150-1992)/((4-1)*$D$4)*AE150+(1992+4*$D$4-$A150)/((4-1)*$D$4)*AF150</f>
        <v>0.16666666666666666</v>
      </c>
      <c r="AR150" s="5">
        <f>($A150-1995)/((4-1)*$D$4)*AF150+(1995+4*$D$4-$A150)/((4-1)*$D$4)*AG150</f>
        <v>0</v>
      </c>
      <c r="AS150" s="5">
        <f>($A150-1998)/((4-1)*$D$4)*AG150+(1998+4*$D$4-$A150)/((4-1)*$D$4)*AH150</f>
        <v>0</v>
      </c>
      <c r="AT150" s="5">
        <f>($A150-2001)/((4-1)*$D$4)*AH150+(2001+4*$D$4-$A150)/((4-1)*$D$4)*AI150</f>
        <v>0</v>
      </c>
      <c r="AU150" s="5">
        <f>($A150-2004)/((4-1)*$D$4)*AI150+(2004+4*$D$4-$A150)/((4-1)*$D$4)*AJ150</f>
        <v>0</v>
      </c>
      <c r="AV150" s="5">
        <f>($A150-2007)/((4-1)*$D$4)*AJ150+(2007+4*$D$4-$A150)/((4-1)*$D$4)*AK150</f>
        <v>0</v>
      </c>
      <c r="AW150" s="5">
        <f>($A150-2010)/((4-1)*$D$4)*AK150+(2010+4*$D$4-$A150)/((4-1)*$D$4)*AL150</f>
        <v>0</v>
      </c>
      <c r="AX150" s="5">
        <f>($A150-2013)/((4-1)*$D$4)*AL150+(2013+4*$D$4-$A150)/((4-1)*$D$4)*AM150</f>
        <v>0</v>
      </c>
      <c r="AY150" s="5">
        <f>($A150-2016)/((4-1)*$D$4)*AM150+(2016+4*$D$4-$A150)/((4-1)*$D$4)*AN150</f>
        <v>0</v>
      </c>
    </row>
    <row r="151">
      <c r="A151" s="3" t="n">
        <v>1996</v>
      </c>
      <c r="B151" s="5">
        <f>IF(AND($A151&gt;=1986,$A151&lt;1989),1,0)</f>
        <v>0</v>
      </c>
      <c r="C151" s="5">
        <f>IF(AND($A151&gt;=1989,$A151&lt;1992),1,0)</f>
        <v>0</v>
      </c>
      <c r="D151" s="5">
        <f>IF(AND($A151&gt;=1992,$A151&lt;1995),1,0)</f>
        <v>0</v>
      </c>
      <c r="E151" s="5">
        <f>IF(AND($A151&gt;=1995,$A151&lt;1998),1,0)</f>
        <v>1</v>
      </c>
      <c r="F151" s="5">
        <f>IF(AND($A151&gt;=1998,$A151&lt;2001),1,0)</f>
        <v>0</v>
      </c>
      <c r="G151" s="5">
        <f>IF(AND($A151&gt;=2001,$A151&lt;2004),1,0)</f>
        <v>0</v>
      </c>
      <c r="H151" s="5">
        <f>IF(AND($A151&gt;=2004,$A151&lt;2007),1,0)</f>
        <v>0</v>
      </c>
      <c r="I151" s="5">
        <f>IF(AND($A151&gt;=2007,$A151&lt;2010),1,0)</f>
        <v>0</v>
      </c>
      <c r="J151" s="5">
        <f>IF(AND($A151&gt;=2010,$A151&lt;2013),1,0)</f>
        <v>0</v>
      </c>
      <c r="K151" s="5">
        <f>IF(AND($A151&gt;=2013,$A151&lt;2016),1,0)</f>
        <v>0</v>
      </c>
      <c r="L151" s="5">
        <f>IF(AND($A151&gt;=2016,$A151&lt;2019),1,0)</f>
        <v>0</v>
      </c>
      <c r="M151" s="5">
        <f>IF(AND($A151&gt;=2019,$A151&lt;2022),1,0)</f>
        <v>0</v>
      </c>
      <c r="N151" s="5">
        <f>IF(AND($A151&gt;=2022,$A151&lt;2025),1,0)</f>
        <v>0</v>
      </c>
      <c r="O151" s="5">
        <f>IF(AND($A151&gt;=2025,$A151&lt;2028),1,0)</f>
        <v>0</v>
      </c>
      <c r="P151" s="5">
        <f>($A151-1986)/((2-1)*$D$4)*B151+(1986+2*$D$4-$A151)/((2-1)*$D$4)*C151</f>
        <v>0</v>
      </c>
      <c r="Q151" s="5">
        <f>($A151-1989)/((2-1)*$D$4)*C151+(1989+2*$D$4-$A151)/((2-1)*$D$4)*D151</f>
        <v>0</v>
      </c>
      <c r="R151" s="5">
        <f>($A151-1992)/((2-1)*$D$4)*D151+(1992+2*$D$4-$A151)/((2-1)*$D$4)*E151</f>
        <v>0.66666666666666663</v>
      </c>
      <c r="S151" s="5">
        <f>($A151-1995)/((2-1)*$D$4)*E151+(1995+2*$D$4-$A151)/((2-1)*$D$4)*F151</f>
        <v>0.33333333333333331</v>
      </c>
      <c r="T151" s="5">
        <f>($A151-1998)/((2-1)*$D$4)*F151+(1998+2*$D$4-$A151)/((2-1)*$D$4)*G151</f>
        <v>0</v>
      </c>
      <c r="U151" s="5">
        <f>($A151-2001)/((2-1)*$D$4)*G151+(2001+2*$D$4-$A151)/((2-1)*$D$4)*H151</f>
        <v>0</v>
      </c>
      <c r="V151" s="5">
        <f>($A151-2004)/((2-1)*$D$4)*H151+(2004+2*$D$4-$A151)/((2-1)*$D$4)*I151</f>
        <v>0</v>
      </c>
      <c r="W151" s="5">
        <f>($A151-2007)/((2-1)*$D$4)*I151+(2007+2*$D$4-$A151)/((2-1)*$D$4)*J151</f>
        <v>0</v>
      </c>
      <c r="X151" s="5">
        <f>($A151-2010)/((2-1)*$D$4)*J151+(2010+2*$D$4-$A151)/((2-1)*$D$4)*K151</f>
        <v>0</v>
      </c>
      <c r="Y151" s="5">
        <f>($A151-2013)/((2-1)*$D$4)*K151+(2013+2*$D$4-$A151)/((2-1)*$D$4)*L151</f>
        <v>0</v>
      </c>
      <c r="Z151" s="5">
        <f>($A151-2016)/((2-1)*$D$4)*L151+(2016+2*$D$4-$A151)/((2-1)*$D$4)*M151</f>
        <v>0</v>
      </c>
      <c r="AA151" s="5">
        <f>($A151-2019)/((2-1)*$D$4)*M151+(2019+2*$D$4-$A151)/((2-1)*$D$4)*N151</f>
        <v>0</v>
      </c>
      <c r="AB151" s="5">
        <f>($A151-2022)/((2-1)*$D$4)*N151+(2022+2*$D$4-$A151)/((2-1)*$D$4)*O151</f>
        <v>0</v>
      </c>
      <c r="AC151" s="5">
        <f>($A151-1986)/((3-1)*$D$4)*P151+(1986+3*$D$4-$A151)/((3-1)*$D$4)*Q151</f>
        <v>0</v>
      </c>
      <c r="AD151" s="5">
        <f>($A151-1989)/((3-1)*$D$4)*Q151+(1989+3*$D$4-$A151)/((3-1)*$D$4)*R151</f>
        <v>0.22222222222222221</v>
      </c>
      <c r="AE151" s="5">
        <f>($A151-1992)/((3-1)*$D$4)*R151+(1992+3*$D$4-$A151)/((3-1)*$D$4)*S151</f>
        <v>0.72222222222222221</v>
      </c>
      <c r="AF151" s="5">
        <f>($A151-1995)/((3-1)*$D$4)*S151+(1995+3*$D$4-$A151)/((3-1)*$D$4)*T151</f>
        <v>0.055555555555555552</v>
      </c>
      <c r="AG151" s="5">
        <f>($A151-1998)/((3-1)*$D$4)*T151+(1998+3*$D$4-$A151)/((3-1)*$D$4)*U151</f>
        <v>0</v>
      </c>
      <c r="AH151" s="5">
        <f>($A151-2001)/((3-1)*$D$4)*U151+(2001+3*$D$4-$A151)/((3-1)*$D$4)*V151</f>
        <v>0</v>
      </c>
      <c r="AI151" s="5">
        <f>($A151-2004)/((3-1)*$D$4)*V151+(2004+3*$D$4-$A151)/((3-1)*$D$4)*W151</f>
        <v>0</v>
      </c>
      <c r="AJ151" s="5">
        <f>($A151-2007)/((3-1)*$D$4)*W151+(2007+3*$D$4-$A151)/((3-1)*$D$4)*X151</f>
        <v>0</v>
      </c>
      <c r="AK151" s="5">
        <f>($A151-2010)/((3-1)*$D$4)*X151+(2010+3*$D$4-$A151)/((3-1)*$D$4)*Y151</f>
        <v>0</v>
      </c>
      <c r="AL151" s="5">
        <f>($A151-2013)/((3-1)*$D$4)*Y151+(2013+3*$D$4-$A151)/((3-1)*$D$4)*Z151</f>
        <v>0</v>
      </c>
      <c r="AM151" s="5">
        <f>($A151-2016)/((3-1)*$D$4)*Z151+(2016+3*$D$4-$A151)/((3-1)*$D$4)*AA151</f>
        <v>0</v>
      </c>
      <c r="AN151" s="5">
        <f>($A151-2019)/((3-1)*$D$4)*AA151+(2019+3*$D$4-$A151)/((3-1)*$D$4)*AB151</f>
        <v>0</v>
      </c>
      <c r="AO151" s="5">
        <f>($A151-1986)/((4-1)*$D$4)*AC151+(1986+4*$D$4-$A151)/((4-1)*$D$4)*AD151</f>
        <v>0.049382716049382713</v>
      </c>
      <c r="AP151" s="5">
        <f>($A151-1989)/((4-1)*$D$4)*AD151+(1989+4*$D$4-$A151)/((4-1)*$D$4)*AE151</f>
        <v>0.57407407407407407</v>
      </c>
      <c r="AQ151" s="5">
        <f>($A151-1992)/((4-1)*$D$4)*AE151+(1992+4*$D$4-$A151)/((4-1)*$D$4)*AF151</f>
        <v>0.37037037037037035</v>
      </c>
      <c r="AR151" s="5">
        <f>($A151-1995)/((4-1)*$D$4)*AF151+(1995+4*$D$4-$A151)/((4-1)*$D$4)*AG151</f>
        <v>0.0061728395061728392</v>
      </c>
      <c r="AS151" s="5">
        <f>($A151-1998)/((4-1)*$D$4)*AG151+(1998+4*$D$4-$A151)/((4-1)*$D$4)*AH151</f>
        <v>0</v>
      </c>
      <c r="AT151" s="5">
        <f>($A151-2001)/((4-1)*$D$4)*AH151+(2001+4*$D$4-$A151)/((4-1)*$D$4)*AI151</f>
        <v>0</v>
      </c>
      <c r="AU151" s="5">
        <f>($A151-2004)/((4-1)*$D$4)*AI151+(2004+4*$D$4-$A151)/((4-1)*$D$4)*AJ151</f>
        <v>0</v>
      </c>
      <c r="AV151" s="5">
        <f>($A151-2007)/((4-1)*$D$4)*AJ151+(2007+4*$D$4-$A151)/((4-1)*$D$4)*AK151</f>
        <v>0</v>
      </c>
      <c r="AW151" s="5">
        <f>($A151-2010)/((4-1)*$D$4)*AK151+(2010+4*$D$4-$A151)/((4-1)*$D$4)*AL151</f>
        <v>0</v>
      </c>
      <c r="AX151" s="5">
        <f>($A151-2013)/((4-1)*$D$4)*AL151+(2013+4*$D$4-$A151)/((4-1)*$D$4)*AM151</f>
        <v>0</v>
      </c>
      <c r="AY151" s="5">
        <f>($A151-2016)/((4-1)*$D$4)*AM151+(2016+4*$D$4-$A151)/((4-1)*$D$4)*AN151</f>
        <v>0</v>
      </c>
    </row>
    <row r="152">
      <c r="A152" s="3" t="n">
        <v>1997</v>
      </c>
      <c r="B152" s="5">
        <f>IF(AND($A152&gt;=1986,$A152&lt;1989),1,0)</f>
        <v>0</v>
      </c>
      <c r="C152" s="5">
        <f>IF(AND($A152&gt;=1989,$A152&lt;1992),1,0)</f>
        <v>0</v>
      </c>
      <c r="D152" s="5">
        <f>IF(AND($A152&gt;=1992,$A152&lt;1995),1,0)</f>
        <v>0</v>
      </c>
      <c r="E152" s="5">
        <f>IF(AND($A152&gt;=1995,$A152&lt;1998),1,0)</f>
        <v>1</v>
      </c>
      <c r="F152" s="5">
        <f>IF(AND($A152&gt;=1998,$A152&lt;2001),1,0)</f>
        <v>0</v>
      </c>
      <c r="G152" s="5">
        <f>IF(AND($A152&gt;=2001,$A152&lt;2004),1,0)</f>
        <v>0</v>
      </c>
      <c r="H152" s="5">
        <f>IF(AND($A152&gt;=2004,$A152&lt;2007),1,0)</f>
        <v>0</v>
      </c>
      <c r="I152" s="5">
        <f>IF(AND($A152&gt;=2007,$A152&lt;2010),1,0)</f>
        <v>0</v>
      </c>
      <c r="J152" s="5">
        <f>IF(AND($A152&gt;=2010,$A152&lt;2013),1,0)</f>
        <v>0</v>
      </c>
      <c r="K152" s="5">
        <f>IF(AND($A152&gt;=2013,$A152&lt;2016),1,0)</f>
        <v>0</v>
      </c>
      <c r="L152" s="5">
        <f>IF(AND($A152&gt;=2016,$A152&lt;2019),1,0)</f>
        <v>0</v>
      </c>
      <c r="M152" s="5">
        <f>IF(AND($A152&gt;=2019,$A152&lt;2022),1,0)</f>
        <v>0</v>
      </c>
      <c r="N152" s="5">
        <f>IF(AND($A152&gt;=2022,$A152&lt;2025),1,0)</f>
        <v>0</v>
      </c>
      <c r="O152" s="5">
        <f>IF(AND($A152&gt;=2025,$A152&lt;2028),1,0)</f>
        <v>0</v>
      </c>
      <c r="P152" s="5">
        <f>($A152-1986)/((2-1)*$D$4)*B152+(1986+2*$D$4-$A152)/((2-1)*$D$4)*C152</f>
        <v>0</v>
      </c>
      <c r="Q152" s="5">
        <f>($A152-1989)/((2-1)*$D$4)*C152+(1989+2*$D$4-$A152)/((2-1)*$D$4)*D152</f>
        <v>0</v>
      </c>
      <c r="R152" s="5">
        <f>($A152-1992)/((2-1)*$D$4)*D152+(1992+2*$D$4-$A152)/((2-1)*$D$4)*E152</f>
        <v>0.33333333333333331</v>
      </c>
      <c r="S152" s="5">
        <f>($A152-1995)/((2-1)*$D$4)*E152+(1995+2*$D$4-$A152)/((2-1)*$D$4)*F152</f>
        <v>0.66666666666666663</v>
      </c>
      <c r="T152" s="5">
        <f>($A152-1998)/((2-1)*$D$4)*F152+(1998+2*$D$4-$A152)/((2-1)*$D$4)*G152</f>
        <v>0</v>
      </c>
      <c r="U152" s="5">
        <f>($A152-2001)/((2-1)*$D$4)*G152+(2001+2*$D$4-$A152)/((2-1)*$D$4)*H152</f>
        <v>0</v>
      </c>
      <c r="V152" s="5">
        <f>($A152-2004)/((2-1)*$D$4)*H152+(2004+2*$D$4-$A152)/((2-1)*$D$4)*I152</f>
        <v>0</v>
      </c>
      <c r="W152" s="5">
        <f>($A152-2007)/((2-1)*$D$4)*I152+(2007+2*$D$4-$A152)/((2-1)*$D$4)*J152</f>
        <v>0</v>
      </c>
      <c r="X152" s="5">
        <f>($A152-2010)/((2-1)*$D$4)*J152+(2010+2*$D$4-$A152)/((2-1)*$D$4)*K152</f>
        <v>0</v>
      </c>
      <c r="Y152" s="5">
        <f>($A152-2013)/((2-1)*$D$4)*K152+(2013+2*$D$4-$A152)/((2-1)*$D$4)*L152</f>
        <v>0</v>
      </c>
      <c r="Z152" s="5">
        <f>($A152-2016)/((2-1)*$D$4)*L152+(2016+2*$D$4-$A152)/((2-1)*$D$4)*M152</f>
        <v>0</v>
      </c>
      <c r="AA152" s="5">
        <f>($A152-2019)/((2-1)*$D$4)*M152+(2019+2*$D$4-$A152)/((2-1)*$D$4)*N152</f>
        <v>0</v>
      </c>
      <c r="AB152" s="5">
        <f>($A152-2022)/((2-1)*$D$4)*N152+(2022+2*$D$4-$A152)/((2-1)*$D$4)*O152</f>
        <v>0</v>
      </c>
      <c r="AC152" s="5">
        <f>($A152-1986)/((3-1)*$D$4)*P152+(1986+3*$D$4-$A152)/((3-1)*$D$4)*Q152</f>
        <v>0</v>
      </c>
      <c r="AD152" s="5">
        <f>($A152-1989)/((3-1)*$D$4)*Q152+(1989+3*$D$4-$A152)/((3-1)*$D$4)*R152</f>
        <v>0.055555555555555552</v>
      </c>
      <c r="AE152" s="5">
        <f>($A152-1992)/((3-1)*$D$4)*R152+(1992+3*$D$4-$A152)/((3-1)*$D$4)*S152</f>
        <v>0.72222222222222221</v>
      </c>
      <c r="AF152" s="5">
        <f>($A152-1995)/((3-1)*$D$4)*S152+(1995+3*$D$4-$A152)/((3-1)*$D$4)*T152</f>
        <v>0.22222222222222221</v>
      </c>
      <c r="AG152" s="5">
        <f>($A152-1998)/((3-1)*$D$4)*T152+(1998+3*$D$4-$A152)/((3-1)*$D$4)*U152</f>
        <v>0</v>
      </c>
      <c r="AH152" s="5">
        <f>($A152-2001)/((3-1)*$D$4)*U152+(2001+3*$D$4-$A152)/((3-1)*$D$4)*V152</f>
        <v>0</v>
      </c>
      <c r="AI152" s="5">
        <f>($A152-2004)/((3-1)*$D$4)*V152+(2004+3*$D$4-$A152)/((3-1)*$D$4)*W152</f>
        <v>0</v>
      </c>
      <c r="AJ152" s="5">
        <f>($A152-2007)/((3-1)*$D$4)*W152+(2007+3*$D$4-$A152)/((3-1)*$D$4)*X152</f>
        <v>0</v>
      </c>
      <c r="AK152" s="5">
        <f>($A152-2010)/((3-1)*$D$4)*X152+(2010+3*$D$4-$A152)/((3-1)*$D$4)*Y152</f>
        <v>0</v>
      </c>
      <c r="AL152" s="5">
        <f>($A152-2013)/((3-1)*$D$4)*Y152+(2013+3*$D$4-$A152)/((3-1)*$D$4)*Z152</f>
        <v>0</v>
      </c>
      <c r="AM152" s="5">
        <f>($A152-2016)/((3-1)*$D$4)*Z152+(2016+3*$D$4-$A152)/((3-1)*$D$4)*AA152</f>
        <v>0</v>
      </c>
      <c r="AN152" s="5">
        <f>($A152-2019)/((3-1)*$D$4)*AA152+(2019+3*$D$4-$A152)/((3-1)*$D$4)*AB152</f>
        <v>0</v>
      </c>
      <c r="AO152" s="5">
        <f>($A152-1986)/((4-1)*$D$4)*AC152+(1986+4*$D$4-$A152)/((4-1)*$D$4)*AD152</f>
        <v>0.0061728395061728392</v>
      </c>
      <c r="AP152" s="5">
        <f>($A152-1989)/((4-1)*$D$4)*AD152+(1989+4*$D$4-$A152)/((4-1)*$D$4)*AE152</f>
        <v>0.37037037037037035</v>
      </c>
      <c r="AQ152" s="5">
        <f>($A152-1992)/((4-1)*$D$4)*AE152+(1992+4*$D$4-$A152)/((4-1)*$D$4)*AF152</f>
        <v>0.57407407407407407</v>
      </c>
      <c r="AR152" s="5">
        <f>($A152-1995)/((4-1)*$D$4)*AF152+(1995+4*$D$4-$A152)/((4-1)*$D$4)*AG152</f>
        <v>0.049382716049382713</v>
      </c>
      <c r="AS152" s="5">
        <f>($A152-1998)/((4-1)*$D$4)*AG152+(1998+4*$D$4-$A152)/((4-1)*$D$4)*AH152</f>
        <v>0</v>
      </c>
      <c r="AT152" s="5">
        <f>($A152-2001)/((4-1)*$D$4)*AH152+(2001+4*$D$4-$A152)/((4-1)*$D$4)*AI152</f>
        <v>0</v>
      </c>
      <c r="AU152" s="5">
        <f>($A152-2004)/((4-1)*$D$4)*AI152+(2004+4*$D$4-$A152)/((4-1)*$D$4)*AJ152</f>
        <v>0</v>
      </c>
      <c r="AV152" s="5">
        <f>($A152-2007)/((4-1)*$D$4)*AJ152+(2007+4*$D$4-$A152)/((4-1)*$D$4)*AK152</f>
        <v>0</v>
      </c>
      <c r="AW152" s="5">
        <f>($A152-2010)/((4-1)*$D$4)*AK152+(2010+4*$D$4-$A152)/((4-1)*$D$4)*AL152</f>
        <v>0</v>
      </c>
      <c r="AX152" s="5">
        <f>($A152-2013)/((4-1)*$D$4)*AL152+(2013+4*$D$4-$A152)/((4-1)*$D$4)*AM152</f>
        <v>0</v>
      </c>
      <c r="AY152" s="5">
        <f>($A152-2016)/((4-1)*$D$4)*AM152+(2016+4*$D$4-$A152)/((4-1)*$D$4)*AN152</f>
        <v>0</v>
      </c>
    </row>
    <row r="153">
      <c r="A153" s="3" t="n">
        <v>1998</v>
      </c>
      <c r="B153" s="5">
        <f>IF(AND($A153&gt;=1986,$A153&lt;1989),1,0)</f>
        <v>0</v>
      </c>
      <c r="C153" s="5">
        <f>IF(AND($A153&gt;=1989,$A153&lt;1992),1,0)</f>
        <v>0</v>
      </c>
      <c r="D153" s="5">
        <f>IF(AND($A153&gt;=1992,$A153&lt;1995),1,0)</f>
        <v>0</v>
      </c>
      <c r="E153" s="5">
        <f>IF(AND($A153&gt;=1995,$A153&lt;1998),1,0)</f>
        <v>0</v>
      </c>
      <c r="F153" s="5">
        <f>IF(AND($A153&gt;=1998,$A153&lt;2001),1,0)</f>
        <v>1</v>
      </c>
      <c r="G153" s="5">
        <f>IF(AND($A153&gt;=2001,$A153&lt;2004),1,0)</f>
        <v>0</v>
      </c>
      <c r="H153" s="5">
        <f>IF(AND($A153&gt;=2004,$A153&lt;2007),1,0)</f>
        <v>0</v>
      </c>
      <c r="I153" s="5">
        <f>IF(AND($A153&gt;=2007,$A153&lt;2010),1,0)</f>
        <v>0</v>
      </c>
      <c r="J153" s="5">
        <f>IF(AND($A153&gt;=2010,$A153&lt;2013),1,0)</f>
        <v>0</v>
      </c>
      <c r="K153" s="5">
        <f>IF(AND($A153&gt;=2013,$A153&lt;2016),1,0)</f>
        <v>0</v>
      </c>
      <c r="L153" s="5">
        <f>IF(AND($A153&gt;=2016,$A153&lt;2019),1,0)</f>
        <v>0</v>
      </c>
      <c r="M153" s="5">
        <f>IF(AND($A153&gt;=2019,$A153&lt;2022),1,0)</f>
        <v>0</v>
      </c>
      <c r="N153" s="5">
        <f>IF(AND($A153&gt;=2022,$A153&lt;2025),1,0)</f>
        <v>0</v>
      </c>
      <c r="O153" s="5">
        <f>IF(AND($A153&gt;=2025,$A153&lt;2028),1,0)</f>
        <v>0</v>
      </c>
      <c r="P153" s="5">
        <f>($A153-1986)/((2-1)*$D$4)*B153+(1986+2*$D$4-$A153)/((2-1)*$D$4)*C153</f>
        <v>0</v>
      </c>
      <c r="Q153" s="5">
        <f>($A153-1989)/((2-1)*$D$4)*C153+(1989+2*$D$4-$A153)/((2-1)*$D$4)*D153</f>
        <v>0</v>
      </c>
      <c r="R153" s="5">
        <f>($A153-1992)/((2-1)*$D$4)*D153+(1992+2*$D$4-$A153)/((2-1)*$D$4)*E153</f>
        <v>0</v>
      </c>
      <c r="S153" s="5">
        <f>($A153-1995)/((2-1)*$D$4)*E153+(1995+2*$D$4-$A153)/((2-1)*$D$4)*F153</f>
        <v>1</v>
      </c>
      <c r="T153" s="5">
        <f>($A153-1998)/((2-1)*$D$4)*F153+(1998+2*$D$4-$A153)/((2-1)*$D$4)*G153</f>
        <v>0</v>
      </c>
      <c r="U153" s="5">
        <f>($A153-2001)/((2-1)*$D$4)*G153+(2001+2*$D$4-$A153)/((2-1)*$D$4)*H153</f>
        <v>0</v>
      </c>
      <c r="V153" s="5">
        <f>($A153-2004)/((2-1)*$D$4)*H153+(2004+2*$D$4-$A153)/((2-1)*$D$4)*I153</f>
        <v>0</v>
      </c>
      <c r="W153" s="5">
        <f>($A153-2007)/((2-1)*$D$4)*I153+(2007+2*$D$4-$A153)/((2-1)*$D$4)*J153</f>
        <v>0</v>
      </c>
      <c r="X153" s="5">
        <f>($A153-2010)/((2-1)*$D$4)*J153+(2010+2*$D$4-$A153)/((2-1)*$D$4)*K153</f>
        <v>0</v>
      </c>
      <c r="Y153" s="5">
        <f>($A153-2013)/((2-1)*$D$4)*K153+(2013+2*$D$4-$A153)/((2-1)*$D$4)*L153</f>
        <v>0</v>
      </c>
      <c r="Z153" s="5">
        <f>($A153-2016)/((2-1)*$D$4)*L153+(2016+2*$D$4-$A153)/((2-1)*$D$4)*M153</f>
        <v>0</v>
      </c>
      <c r="AA153" s="5">
        <f>($A153-2019)/((2-1)*$D$4)*M153+(2019+2*$D$4-$A153)/((2-1)*$D$4)*N153</f>
        <v>0</v>
      </c>
      <c r="AB153" s="5">
        <f>($A153-2022)/((2-1)*$D$4)*N153+(2022+2*$D$4-$A153)/((2-1)*$D$4)*O153</f>
        <v>0</v>
      </c>
      <c r="AC153" s="5">
        <f>($A153-1986)/((3-1)*$D$4)*P153+(1986+3*$D$4-$A153)/((3-1)*$D$4)*Q153</f>
        <v>0</v>
      </c>
      <c r="AD153" s="5">
        <f>($A153-1989)/((3-1)*$D$4)*Q153+(1989+3*$D$4-$A153)/((3-1)*$D$4)*R153</f>
        <v>0</v>
      </c>
      <c r="AE153" s="5">
        <f>($A153-1992)/((3-1)*$D$4)*R153+(1992+3*$D$4-$A153)/((3-1)*$D$4)*S153</f>
        <v>0.5</v>
      </c>
      <c r="AF153" s="5">
        <f>($A153-1995)/((3-1)*$D$4)*S153+(1995+3*$D$4-$A153)/((3-1)*$D$4)*T153</f>
        <v>0.5</v>
      </c>
      <c r="AG153" s="5">
        <f>($A153-1998)/((3-1)*$D$4)*T153+(1998+3*$D$4-$A153)/((3-1)*$D$4)*U153</f>
        <v>0</v>
      </c>
      <c r="AH153" s="5">
        <f>($A153-2001)/((3-1)*$D$4)*U153+(2001+3*$D$4-$A153)/((3-1)*$D$4)*V153</f>
        <v>0</v>
      </c>
      <c r="AI153" s="5">
        <f>($A153-2004)/((3-1)*$D$4)*V153+(2004+3*$D$4-$A153)/((3-1)*$D$4)*W153</f>
        <v>0</v>
      </c>
      <c r="AJ153" s="5">
        <f>($A153-2007)/((3-1)*$D$4)*W153+(2007+3*$D$4-$A153)/((3-1)*$D$4)*X153</f>
        <v>0</v>
      </c>
      <c r="AK153" s="5">
        <f>($A153-2010)/((3-1)*$D$4)*X153+(2010+3*$D$4-$A153)/((3-1)*$D$4)*Y153</f>
        <v>0</v>
      </c>
      <c r="AL153" s="5">
        <f>($A153-2013)/((3-1)*$D$4)*Y153+(2013+3*$D$4-$A153)/((3-1)*$D$4)*Z153</f>
        <v>0</v>
      </c>
      <c r="AM153" s="5">
        <f>($A153-2016)/((3-1)*$D$4)*Z153+(2016+3*$D$4-$A153)/((3-1)*$D$4)*AA153</f>
        <v>0</v>
      </c>
      <c r="AN153" s="5">
        <f>($A153-2019)/((3-1)*$D$4)*AA153+(2019+3*$D$4-$A153)/((3-1)*$D$4)*AB153</f>
        <v>0</v>
      </c>
      <c r="AO153" s="5">
        <f>($A153-1986)/((4-1)*$D$4)*AC153+(1986+4*$D$4-$A153)/((4-1)*$D$4)*AD153</f>
        <v>0</v>
      </c>
      <c r="AP153" s="5">
        <f>($A153-1989)/((4-1)*$D$4)*AD153+(1989+4*$D$4-$A153)/((4-1)*$D$4)*AE153</f>
        <v>0.16666666666666666</v>
      </c>
      <c r="AQ153" s="5">
        <f>($A153-1992)/((4-1)*$D$4)*AE153+(1992+4*$D$4-$A153)/((4-1)*$D$4)*AF153</f>
        <v>0.66666666666666663</v>
      </c>
      <c r="AR153" s="5">
        <f>($A153-1995)/((4-1)*$D$4)*AF153+(1995+4*$D$4-$A153)/((4-1)*$D$4)*AG153</f>
        <v>0.16666666666666666</v>
      </c>
      <c r="AS153" s="5">
        <f>($A153-1998)/((4-1)*$D$4)*AG153+(1998+4*$D$4-$A153)/((4-1)*$D$4)*AH153</f>
        <v>0</v>
      </c>
      <c r="AT153" s="5">
        <f>($A153-2001)/((4-1)*$D$4)*AH153+(2001+4*$D$4-$A153)/((4-1)*$D$4)*AI153</f>
        <v>0</v>
      </c>
      <c r="AU153" s="5">
        <f>($A153-2004)/((4-1)*$D$4)*AI153+(2004+4*$D$4-$A153)/((4-1)*$D$4)*AJ153</f>
        <v>0</v>
      </c>
      <c r="AV153" s="5">
        <f>($A153-2007)/((4-1)*$D$4)*AJ153+(2007+4*$D$4-$A153)/((4-1)*$D$4)*AK153</f>
        <v>0</v>
      </c>
      <c r="AW153" s="5">
        <f>($A153-2010)/((4-1)*$D$4)*AK153+(2010+4*$D$4-$A153)/((4-1)*$D$4)*AL153</f>
        <v>0</v>
      </c>
      <c r="AX153" s="5">
        <f>($A153-2013)/((4-1)*$D$4)*AL153+(2013+4*$D$4-$A153)/((4-1)*$D$4)*AM153</f>
        <v>0</v>
      </c>
      <c r="AY153" s="5">
        <f>($A153-2016)/((4-1)*$D$4)*AM153+(2016+4*$D$4-$A153)/((4-1)*$D$4)*AN153</f>
        <v>0</v>
      </c>
    </row>
    <row r="154">
      <c r="A154" s="3" t="n">
        <v>1999</v>
      </c>
      <c r="B154" s="5">
        <f>IF(AND($A154&gt;=1986,$A154&lt;1989),1,0)</f>
        <v>0</v>
      </c>
      <c r="C154" s="5">
        <f>IF(AND($A154&gt;=1989,$A154&lt;1992),1,0)</f>
        <v>0</v>
      </c>
      <c r="D154" s="5">
        <f>IF(AND($A154&gt;=1992,$A154&lt;1995),1,0)</f>
        <v>0</v>
      </c>
      <c r="E154" s="5">
        <f>IF(AND($A154&gt;=1995,$A154&lt;1998),1,0)</f>
        <v>0</v>
      </c>
      <c r="F154" s="5">
        <f>IF(AND($A154&gt;=1998,$A154&lt;2001),1,0)</f>
        <v>1</v>
      </c>
      <c r="G154" s="5">
        <f>IF(AND($A154&gt;=2001,$A154&lt;2004),1,0)</f>
        <v>0</v>
      </c>
      <c r="H154" s="5">
        <f>IF(AND($A154&gt;=2004,$A154&lt;2007),1,0)</f>
        <v>0</v>
      </c>
      <c r="I154" s="5">
        <f>IF(AND($A154&gt;=2007,$A154&lt;2010),1,0)</f>
        <v>0</v>
      </c>
      <c r="J154" s="5">
        <f>IF(AND($A154&gt;=2010,$A154&lt;2013),1,0)</f>
        <v>0</v>
      </c>
      <c r="K154" s="5">
        <f>IF(AND($A154&gt;=2013,$A154&lt;2016),1,0)</f>
        <v>0</v>
      </c>
      <c r="L154" s="5">
        <f>IF(AND($A154&gt;=2016,$A154&lt;2019),1,0)</f>
        <v>0</v>
      </c>
      <c r="M154" s="5">
        <f>IF(AND($A154&gt;=2019,$A154&lt;2022),1,0)</f>
        <v>0</v>
      </c>
      <c r="N154" s="5">
        <f>IF(AND($A154&gt;=2022,$A154&lt;2025),1,0)</f>
        <v>0</v>
      </c>
      <c r="O154" s="5">
        <f>IF(AND($A154&gt;=2025,$A154&lt;2028),1,0)</f>
        <v>0</v>
      </c>
      <c r="P154" s="5">
        <f>($A154-1986)/((2-1)*$D$4)*B154+(1986+2*$D$4-$A154)/((2-1)*$D$4)*C154</f>
        <v>0</v>
      </c>
      <c r="Q154" s="5">
        <f>($A154-1989)/((2-1)*$D$4)*C154+(1989+2*$D$4-$A154)/((2-1)*$D$4)*D154</f>
        <v>0</v>
      </c>
      <c r="R154" s="5">
        <f>($A154-1992)/((2-1)*$D$4)*D154+(1992+2*$D$4-$A154)/((2-1)*$D$4)*E154</f>
        <v>0</v>
      </c>
      <c r="S154" s="5">
        <f>($A154-1995)/((2-1)*$D$4)*E154+(1995+2*$D$4-$A154)/((2-1)*$D$4)*F154</f>
        <v>0.66666666666666663</v>
      </c>
      <c r="T154" s="5">
        <f>($A154-1998)/((2-1)*$D$4)*F154+(1998+2*$D$4-$A154)/((2-1)*$D$4)*G154</f>
        <v>0.33333333333333331</v>
      </c>
      <c r="U154" s="5">
        <f>($A154-2001)/((2-1)*$D$4)*G154+(2001+2*$D$4-$A154)/((2-1)*$D$4)*H154</f>
        <v>0</v>
      </c>
      <c r="V154" s="5">
        <f>($A154-2004)/((2-1)*$D$4)*H154+(2004+2*$D$4-$A154)/((2-1)*$D$4)*I154</f>
        <v>0</v>
      </c>
      <c r="W154" s="5">
        <f>($A154-2007)/((2-1)*$D$4)*I154+(2007+2*$D$4-$A154)/((2-1)*$D$4)*J154</f>
        <v>0</v>
      </c>
      <c r="X154" s="5">
        <f>($A154-2010)/((2-1)*$D$4)*J154+(2010+2*$D$4-$A154)/((2-1)*$D$4)*K154</f>
        <v>0</v>
      </c>
      <c r="Y154" s="5">
        <f>($A154-2013)/((2-1)*$D$4)*K154+(2013+2*$D$4-$A154)/((2-1)*$D$4)*L154</f>
        <v>0</v>
      </c>
      <c r="Z154" s="5">
        <f>($A154-2016)/((2-1)*$D$4)*L154+(2016+2*$D$4-$A154)/((2-1)*$D$4)*M154</f>
        <v>0</v>
      </c>
      <c r="AA154" s="5">
        <f>($A154-2019)/((2-1)*$D$4)*M154+(2019+2*$D$4-$A154)/((2-1)*$D$4)*N154</f>
        <v>0</v>
      </c>
      <c r="AB154" s="5">
        <f>($A154-2022)/((2-1)*$D$4)*N154+(2022+2*$D$4-$A154)/((2-1)*$D$4)*O154</f>
        <v>0</v>
      </c>
      <c r="AC154" s="5">
        <f>($A154-1986)/((3-1)*$D$4)*P154+(1986+3*$D$4-$A154)/((3-1)*$D$4)*Q154</f>
        <v>0</v>
      </c>
      <c r="AD154" s="5">
        <f>($A154-1989)/((3-1)*$D$4)*Q154+(1989+3*$D$4-$A154)/((3-1)*$D$4)*R154</f>
        <v>0</v>
      </c>
      <c r="AE154" s="5">
        <f>($A154-1992)/((3-1)*$D$4)*R154+(1992+3*$D$4-$A154)/((3-1)*$D$4)*S154</f>
        <v>0.22222222222222221</v>
      </c>
      <c r="AF154" s="5">
        <f>($A154-1995)/((3-1)*$D$4)*S154+(1995+3*$D$4-$A154)/((3-1)*$D$4)*T154</f>
        <v>0.72222222222222221</v>
      </c>
      <c r="AG154" s="5">
        <f>($A154-1998)/((3-1)*$D$4)*T154+(1998+3*$D$4-$A154)/((3-1)*$D$4)*U154</f>
        <v>0.055555555555555552</v>
      </c>
      <c r="AH154" s="5">
        <f>($A154-2001)/((3-1)*$D$4)*U154+(2001+3*$D$4-$A154)/((3-1)*$D$4)*V154</f>
        <v>0</v>
      </c>
      <c r="AI154" s="5">
        <f>($A154-2004)/((3-1)*$D$4)*V154+(2004+3*$D$4-$A154)/((3-1)*$D$4)*W154</f>
        <v>0</v>
      </c>
      <c r="AJ154" s="5">
        <f>($A154-2007)/((3-1)*$D$4)*W154+(2007+3*$D$4-$A154)/((3-1)*$D$4)*X154</f>
        <v>0</v>
      </c>
      <c r="AK154" s="5">
        <f>($A154-2010)/((3-1)*$D$4)*X154+(2010+3*$D$4-$A154)/((3-1)*$D$4)*Y154</f>
        <v>0</v>
      </c>
      <c r="AL154" s="5">
        <f>($A154-2013)/((3-1)*$D$4)*Y154+(2013+3*$D$4-$A154)/((3-1)*$D$4)*Z154</f>
        <v>0</v>
      </c>
      <c r="AM154" s="5">
        <f>($A154-2016)/((3-1)*$D$4)*Z154+(2016+3*$D$4-$A154)/((3-1)*$D$4)*AA154</f>
        <v>0</v>
      </c>
      <c r="AN154" s="5">
        <f>($A154-2019)/((3-1)*$D$4)*AA154+(2019+3*$D$4-$A154)/((3-1)*$D$4)*AB154</f>
        <v>0</v>
      </c>
      <c r="AO154" s="5">
        <f>($A154-1986)/((4-1)*$D$4)*AC154+(1986+4*$D$4-$A154)/((4-1)*$D$4)*AD154</f>
        <v>0</v>
      </c>
      <c r="AP154" s="5">
        <f>($A154-1989)/((4-1)*$D$4)*AD154+(1989+4*$D$4-$A154)/((4-1)*$D$4)*AE154</f>
        <v>0.049382716049382713</v>
      </c>
      <c r="AQ154" s="5">
        <f>($A154-1992)/((4-1)*$D$4)*AE154+(1992+4*$D$4-$A154)/((4-1)*$D$4)*AF154</f>
        <v>0.57407407407407407</v>
      </c>
      <c r="AR154" s="5">
        <f>($A154-1995)/((4-1)*$D$4)*AF154+(1995+4*$D$4-$A154)/((4-1)*$D$4)*AG154</f>
        <v>0.37037037037037035</v>
      </c>
      <c r="AS154" s="5">
        <f>($A154-1998)/((4-1)*$D$4)*AG154+(1998+4*$D$4-$A154)/((4-1)*$D$4)*AH154</f>
        <v>0.0061728395061728392</v>
      </c>
      <c r="AT154" s="5">
        <f>($A154-2001)/((4-1)*$D$4)*AH154+(2001+4*$D$4-$A154)/((4-1)*$D$4)*AI154</f>
        <v>0</v>
      </c>
      <c r="AU154" s="5">
        <f>($A154-2004)/((4-1)*$D$4)*AI154+(2004+4*$D$4-$A154)/((4-1)*$D$4)*AJ154</f>
        <v>0</v>
      </c>
      <c r="AV154" s="5">
        <f>($A154-2007)/((4-1)*$D$4)*AJ154+(2007+4*$D$4-$A154)/((4-1)*$D$4)*AK154</f>
        <v>0</v>
      </c>
      <c r="AW154" s="5">
        <f>($A154-2010)/((4-1)*$D$4)*AK154+(2010+4*$D$4-$A154)/((4-1)*$D$4)*AL154</f>
        <v>0</v>
      </c>
      <c r="AX154" s="5">
        <f>($A154-2013)/((4-1)*$D$4)*AL154+(2013+4*$D$4-$A154)/((4-1)*$D$4)*AM154</f>
        <v>0</v>
      </c>
      <c r="AY154" s="5">
        <f>($A154-2016)/((4-1)*$D$4)*AM154+(2016+4*$D$4-$A154)/((4-1)*$D$4)*AN154</f>
        <v>0</v>
      </c>
    </row>
    <row r="155">
      <c r="A155" s="3" t="n">
        <v>2000</v>
      </c>
      <c r="B155" s="5">
        <f>IF(AND($A155&gt;=1986,$A155&lt;1989),1,0)</f>
        <v>0</v>
      </c>
      <c r="C155" s="5">
        <f>IF(AND($A155&gt;=1989,$A155&lt;1992),1,0)</f>
        <v>0</v>
      </c>
      <c r="D155" s="5">
        <f>IF(AND($A155&gt;=1992,$A155&lt;1995),1,0)</f>
        <v>0</v>
      </c>
      <c r="E155" s="5">
        <f>IF(AND($A155&gt;=1995,$A155&lt;1998),1,0)</f>
        <v>0</v>
      </c>
      <c r="F155" s="5">
        <f>IF(AND($A155&gt;=1998,$A155&lt;2001),1,0)</f>
        <v>1</v>
      </c>
      <c r="G155" s="5">
        <f>IF(AND($A155&gt;=2001,$A155&lt;2004),1,0)</f>
        <v>0</v>
      </c>
      <c r="H155" s="5">
        <f>IF(AND($A155&gt;=2004,$A155&lt;2007),1,0)</f>
        <v>0</v>
      </c>
      <c r="I155" s="5">
        <f>IF(AND($A155&gt;=2007,$A155&lt;2010),1,0)</f>
        <v>0</v>
      </c>
      <c r="J155" s="5">
        <f>IF(AND($A155&gt;=2010,$A155&lt;2013),1,0)</f>
        <v>0</v>
      </c>
      <c r="K155" s="5">
        <f>IF(AND($A155&gt;=2013,$A155&lt;2016),1,0)</f>
        <v>0</v>
      </c>
      <c r="L155" s="5">
        <f>IF(AND($A155&gt;=2016,$A155&lt;2019),1,0)</f>
        <v>0</v>
      </c>
      <c r="M155" s="5">
        <f>IF(AND($A155&gt;=2019,$A155&lt;2022),1,0)</f>
        <v>0</v>
      </c>
      <c r="N155" s="5">
        <f>IF(AND($A155&gt;=2022,$A155&lt;2025),1,0)</f>
        <v>0</v>
      </c>
      <c r="O155" s="5">
        <f>IF(AND($A155&gt;=2025,$A155&lt;2028),1,0)</f>
        <v>0</v>
      </c>
      <c r="P155" s="5">
        <f>($A155-1986)/((2-1)*$D$4)*B155+(1986+2*$D$4-$A155)/((2-1)*$D$4)*C155</f>
        <v>0</v>
      </c>
      <c r="Q155" s="5">
        <f>($A155-1989)/((2-1)*$D$4)*C155+(1989+2*$D$4-$A155)/((2-1)*$D$4)*D155</f>
        <v>0</v>
      </c>
      <c r="R155" s="5">
        <f>($A155-1992)/((2-1)*$D$4)*D155+(1992+2*$D$4-$A155)/((2-1)*$D$4)*E155</f>
        <v>0</v>
      </c>
      <c r="S155" s="5">
        <f>($A155-1995)/((2-1)*$D$4)*E155+(1995+2*$D$4-$A155)/((2-1)*$D$4)*F155</f>
        <v>0.33333333333333331</v>
      </c>
      <c r="T155" s="5">
        <f>($A155-1998)/((2-1)*$D$4)*F155+(1998+2*$D$4-$A155)/((2-1)*$D$4)*G155</f>
        <v>0.66666666666666663</v>
      </c>
      <c r="U155" s="5">
        <f>($A155-2001)/((2-1)*$D$4)*G155+(2001+2*$D$4-$A155)/((2-1)*$D$4)*H155</f>
        <v>0</v>
      </c>
      <c r="V155" s="5">
        <f>($A155-2004)/((2-1)*$D$4)*H155+(2004+2*$D$4-$A155)/((2-1)*$D$4)*I155</f>
        <v>0</v>
      </c>
      <c r="W155" s="5">
        <f>($A155-2007)/((2-1)*$D$4)*I155+(2007+2*$D$4-$A155)/((2-1)*$D$4)*J155</f>
        <v>0</v>
      </c>
      <c r="X155" s="5">
        <f>($A155-2010)/((2-1)*$D$4)*J155+(2010+2*$D$4-$A155)/((2-1)*$D$4)*K155</f>
        <v>0</v>
      </c>
      <c r="Y155" s="5">
        <f>($A155-2013)/((2-1)*$D$4)*K155+(2013+2*$D$4-$A155)/((2-1)*$D$4)*L155</f>
        <v>0</v>
      </c>
      <c r="Z155" s="5">
        <f>($A155-2016)/((2-1)*$D$4)*L155+(2016+2*$D$4-$A155)/((2-1)*$D$4)*M155</f>
        <v>0</v>
      </c>
      <c r="AA155" s="5">
        <f>($A155-2019)/((2-1)*$D$4)*M155+(2019+2*$D$4-$A155)/((2-1)*$D$4)*N155</f>
        <v>0</v>
      </c>
      <c r="AB155" s="5">
        <f>($A155-2022)/((2-1)*$D$4)*N155+(2022+2*$D$4-$A155)/((2-1)*$D$4)*O155</f>
        <v>0</v>
      </c>
      <c r="AC155" s="5">
        <f>($A155-1986)/((3-1)*$D$4)*P155+(1986+3*$D$4-$A155)/((3-1)*$D$4)*Q155</f>
        <v>0</v>
      </c>
      <c r="AD155" s="5">
        <f>($A155-1989)/((3-1)*$D$4)*Q155+(1989+3*$D$4-$A155)/((3-1)*$D$4)*R155</f>
        <v>0</v>
      </c>
      <c r="AE155" s="5">
        <f>($A155-1992)/((3-1)*$D$4)*R155+(1992+3*$D$4-$A155)/((3-1)*$D$4)*S155</f>
        <v>0.055555555555555552</v>
      </c>
      <c r="AF155" s="5">
        <f>($A155-1995)/((3-1)*$D$4)*S155+(1995+3*$D$4-$A155)/((3-1)*$D$4)*T155</f>
        <v>0.72222222222222221</v>
      </c>
      <c r="AG155" s="5">
        <f>($A155-1998)/((3-1)*$D$4)*T155+(1998+3*$D$4-$A155)/((3-1)*$D$4)*U155</f>
        <v>0.22222222222222221</v>
      </c>
      <c r="AH155" s="5">
        <f>($A155-2001)/((3-1)*$D$4)*U155+(2001+3*$D$4-$A155)/((3-1)*$D$4)*V155</f>
        <v>0</v>
      </c>
      <c r="AI155" s="5">
        <f>($A155-2004)/((3-1)*$D$4)*V155+(2004+3*$D$4-$A155)/((3-1)*$D$4)*W155</f>
        <v>0</v>
      </c>
      <c r="AJ155" s="5">
        <f>($A155-2007)/((3-1)*$D$4)*W155+(2007+3*$D$4-$A155)/((3-1)*$D$4)*X155</f>
        <v>0</v>
      </c>
      <c r="AK155" s="5">
        <f>($A155-2010)/((3-1)*$D$4)*X155+(2010+3*$D$4-$A155)/((3-1)*$D$4)*Y155</f>
        <v>0</v>
      </c>
      <c r="AL155" s="5">
        <f>($A155-2013)/((3-1)*$D$4)*Y155+(2013+3*$D$4-$A155)/((3-1)*$D$4)*Z155</f>
        <v>0</v>
      </c>
      <c r="AM155" s="5">
        <f>($A155-2016)/((3-1)*$D$4)*Z155+(2016+3*$D$4-$A155)/((3-1)*$D$4)*AA155</f>
        <v>0</v>
      </c>
      <c r="AN155" s="5">
        <f>($A155-2019)/((3-1)*$D$4)*AA155+(2019+3*$D$4-$A155)/((3-1)*$D$4)*AB155</f>
        <v>0</v>
      </c>
      <c r="AO155" s="5">
        <f>($A155-1986)/((4-1)*$D$4)*AC155+(1986+4*$D$4-$A155)/((4-1)*$D$4)*AD155</f>
        <v>0</v>
      </c>
      <c r="AP155" s="5">
        <f>($A155-1989)/((4-1)*$D$4)*AD155+(1989+4*$D$4-$A155)/((4-1)*$D$4)*AE155</f>
        <v>0.0061728395061728392</v>
      </c>
      <c r="AQ155" s="5">
        <f>($A155-1992)/((4-1)*$D$4)*AE155+(1992+4*$D$4-$A155)/((4-1)*$D$4)*AF155</f>
        <v>0.37037037037037035</v>
      </c>
      <c r="AR155" s="5">
        <f>($A155-1995)/((4-1)*$D$4)*AF155+(1995+4*$D$4-$A155)/((4-1)*$D$4)*AG155</f>
        <v>0.57407407407407407</v>
      </c>
      <c r="AS155" s="5">
        <f>($A155-1998)/((4-1)*$D$4)*AG155+(1998+4*$D$4-$A155)/((4-1)*$D$4)*AH155</f>
        <v>0.049382716049382713</v>
      </c>
      <c r="AT155" s="5">
        <f>($A155-2001)/((4-1)*$D$4)*AH155+(2001+4*$D$4-$A155)/((4-1)*$D$4)*AI155</f>
        <v>0</v>
      </c>
      <c r="AU155" s="5">
        <f>($A155-2004)/((4-1)*$D$4)*AI155+(2004+4*$D$4-$A155)/((4-1)*$D$4)*AJ155</f>
        <v>0</v>
      </c>
      <c r="AV155" s="5">
        <f>($A155-2007)/((4-1)*$D$4)*AJ155+(2007+4*$D$4-$A155)/((4-1)*$D$4)*AK155</f>
        <v>0</v>
      </c>
      <c r="AW155" s="5">
        <f>($A155-2010)/((4-1)*$D$4)*AK155+(2010+4*$D$4-$A155)/((4-1)*$D$4)*AL155</f>
        <v>0</v>
      </c>
      <c r="AX155" s="5">
        <f>($A155-2013)/((4-1)*$D$4)*AL155+(2013+4*$D$4-$A155)/((4-1)*$D$4)*AM155</f>
        <v>0</v>
      </c>
      <c r="AY155" s="5">
        <f>($A155-2016)/((4-1)*$D$4)*AM155+(2016+4*$D$4-$A155)/((4-1)*$D$4)*AN155</f>
        <v>0</v>
      </c>
    </row>
    <row r="156">
      <c r="A156" s="3" t="n">
        <v>2001</v>
      </c>
      <c r="B156" s="5">
        <f>IF(AND($A156&gt;=1986,$A156&lt;1989),1,0)</f>
        <v>0</v>
      </c>
      <c r="C156" s="5">
        <f>IF(AND($A156&gt;=1989,$A156&lt;1992),1,0)</f>
        <v>0</v>
      </c>
      <c r="D156" s="5">
        <f>IF(AND($A156&gt;=1992,$A156&lt;1995),1,0)</f>
        <v>0</v>
      </c>
      <c r="E156" s="5">
        <f>IF(AND($A156&gt;=1995,$A156&lt;1998),1,0)</f>
        <v>0</v>
      </c>
      <c r="F156" s="5">
        <f>IF(AND($A156&gt;=1998,$A156&lt;2001),1,0)</f>
        <v>0</v>
      </c>
      <c r="G156" s="5">
        <f>IF(AND($A156&gt;=2001,$A156&lt;2004),1,0)</f>
        <v>1</v>
      </c>
      <c r="H156" s="5">
        <f>IF(AND($A156&gt;=2004,$A156&lt;2007),1,0)</f>
        <v>0</v>
      </c>
      <c r="I156" s="5">
        <f>IF(AND($A156&gt;=2007,$A156&lt;2010),1,0)</f>
        <v>0</v>
      </c>
      <c r="J156" s="5">
        <f>IF(AND($A156&gt;=2010,$A156&lt;2013),1,0)</f>
        <v>0</v>
      </c>
      <c r="K156" s="5">
        <f>IF(AND($A156&gt;=2013,$A156&lt;2016),1,0)</f>
        <v>0</v>
      </c>
      <c r="L156" s="5">
        <f>IF(AND($A156&gt;=2016,$A156&lt;2019),1,0)</f>
        <v>0</v>
      </c>
      <c r="M156" s="5">
        <f>IF(AND($A156&gt;=2019,$A156&lt;2022),1,0)</f>
        <v>0</v>
      </c>
      <c r="N156" s="5">
        <f>IF(AND($A156&gt;=2022,$A156&lt;2025),1,0)</f>
        <v>0</v>
      </c>
      <c r="O156" s="5">
        <f>IF(AND($A156&gt;=2025,$A156&lt;2028),1,0)</f>
        <v>0</v>
      </c>
      <c r="P156" s="5">
        <f>($A156-1986)/((2-1)*$D$4)*B156+(1986+2*$D$4-$A156)/((2-1)*$D$4)*C156</f>
        <v>0</v>
      </c>
      <c r="Q156" s="5">
        <f>($A156-1989)/((2-1)*$D$4)*C156+(1989+2*$D$4-$A156)/((2-1)*$D$4)*D156</f>
        <v>0</v>
      </c>
      <c r="R156" s="5">
        <f>($A156-1992)/((2-1)*$D$4)*D156+(1992+2*$D$4-$A156)/((2-1)*$D$4)*E156</f>
        <v>0</v>
      </c>
      <c r="S156" s="5">
        <f>($A156-1995)/((2-1)*$D$4)*E156+(1995+2*$D$4-$A156)/((2-1)*$D$4)*F156</f>
        <v>0</v>
      </c>
      <c r="T156" s="5">
        <f>($A156-1998)/((2-1)*$D$4)*F156+(1998+2*$D$4-$A156)/((2-1)*$D$4)*G156</f>
        <v>1</v>
      </c>
      <c r="U156" s="5">
        <f>($A156-2001)/((2-1)*$D$4)*G156+(2001+2*$D$4-$A156)/((2-1)*$D$4)*H156</f>
        <v>0</v>
      </c>
      <c r="V156" s="5">
        <f>($A156-2004)/((2-1)*$D$4)*H156+(2004+2*$D$4-$A156)/((2-1)*$D$4)*I156</f>
        <v>0</v>
      </c>
      <c r="W156" s="5">
        <f>($A156-2007)/((2-1)*$D$4)*I156+(2007+2*$D$4-$A156)/((2-1)*$D$4)*J156</f>
        <v>0</v>
      </c>
      <c r="X156" s="5">
        <f>($A156-2010)/((2-1)*$D$4)*J156+(2010+2*$D$4-$A156)/((2-1)*$D$4)*K156</f>
        <v>0</v>
      </c>
      <c r="Y156" s="5">
        <f>($A156-2013)/((2-1)*$D$4)*K156+(2013+2*$D$4-$A156)/((2-1)*$D$4)*L156</f>
        <v>0</v>
      </c>
      <c r="Z156" s="5">
        <f>($A156-2016)/((2-1)*$D$4)*L156+(2016+2*$D$4-$A156)/((2-1)*$D$4)*M156</f>
        <v>0</v>
      </c>
      <c r="AA156" s="5">
        <f>($A156-2019)/((2-1)*$D$4)*M156+(2019+2*$D$4-$A156)/((2-1)*$D$4)*N156</f>
        <v>0</v>
      </c>
      <c r="AB156" s="5">
        <f>($A156-2022)/((2-1)*$D$4)*N156+(2022+2*$D$4-$A156)/((2-1)*$D$4)*O156</f>
        <v>0</v>
      </c>
      <c r="AC156" s="5">
        <f>($A156-1986)/((3-1)*$D$4)*P156+(1986+3*$D$4-$A156)/((3-1)*$D$4)*Q156</f>
        <v>0</v>
      </c>
      <c r="AD156" s="5">
        <f>($A156-1989)/((3-1)*$D$4)*Q156+(1989+3*$D$4-$A156)/((3-1)*$D$4)*R156</f>
        <v>0</v>
      </c>
      <c r="AE156" s="5">
        <f>($A156-1992)/((3-1)*$D$4)*R156+(1992+3*$D$4-$A156)/((3-1)*$D$4)*S156</f>
        <v>0</v>
      </c>
      <c r="AF156" s="5">
        <f>($A156-1995)/((3-1)*$D$4)*S156+(1995+3*$D$4-$A156)/((3-1)*$D$4)*T156</f>
        <v>0.5</v>
      </c>
      <c r="AG156" s="5">
        <f>($A156-1998)/((3-1)*$D$4)*T156+(1998+3*$D$4-$A156)/((3-1)*$D$4)*U156</f>
        <v>0.5</v>
      </c>
      <c r="AH156" s="5">
        <f>($A156-2001)/((3-1)*$D$4)*U156+(2001+3*$D$4-$A156)/((3-1)*$D$4)*V156</f>
        <v>0</v>
      </c>
      <c r="AI156" s="5">
        <f>($A156-2004)/((3-1)*$D$4)*V156+(2004+3*$D$4-$A156)/((3-1)*$D$4)*W156</f>
        <v>0</v>
      </c>
      <c r="AJ156" s="5">
        <f>($A156-2007)/((3-1)*$D$4)*W156+(2007+3*$D$4-$A156)/((3-1)*$D$4)*X156</f>
        <v>0</v>
      </c>
      <c r="AK156" s="5">
        <f>($A156-2010)/((3-1)*$D$4)*X156+(2010+3*$D$4-$A156)/((3-1)*$D$4)*Y156</f>
        <v>0</v>
      </c>
      <c r="AL156" s="5">
        <f>($A156-2013)/((3-1)*$D$4)*Y156+(2013+3*$D$4-$A156)/((3-1)*$D$4)*Z156</f>
        <v>0</v>
      </c>
      <c r="AM156" s="5">
        <f>($A156-2016)/((3-1)*$D$4)*Z156+(2016+3*$D$4-$A156)/((3-1)*$D$4)*AA156</f>
        <v>0</v>
      </c>
      <c r="AN156" s="5">
        <f>($A156-2019)/((3-1)*$D$4)*AA156+(2019+3*$D$4-$A156)/((3-1)*$D$4)*AB156</f>
        <v>0</v>
      </c>
      <c r="AO156" s="5">
        <f>($A156-1986)/((4-1)*$D$4)*AC156+(1986+4*$D$4-$A156)/((4-1)*$D$4)*AD156</f>
        <v>0</v>
      </c>
      <c r="AP156" s="5">
        <f>($A156-1989)/((4-1)*$D$4)*AD156+(1989+4*$D$4-$A156)/((4-1)*$D$4)*AE156</f>
        <v>0</v>
      </c>
      <c r="AQ156" s="5">
        <f>($A156-1992)/((4-1)*$D$4)*AE156+(1992+4*$D$4-$A156)/((4-1)*$D$4)*AF156</f>
        <v>0.16666666666666666</v>
      </c>
      <c r="AR156" s="5">
        <f>($A156-1995)/((4-1)*$D$4)*AF156+(1995+4*$D$4-$A156)/((4-1)*$D$4)*AG156</f>
        <v>0.66666666666666663</v>
      </c>
      <c r="AS156" s="5">
        <f>($A156-1998)/((4-1)*$D$4)*AG156+(1998+4*$D$4-$A156)/((4-1)*$D$4)*AH156</f>
        <v>0.16666666666666666</v>
      </c>
      <c r="AT156" s="5">
        <f>($A156-2001)/((4-1)*$D$4)*AH156+(2001+4*$D$4-$A156)/((4-1)*$D$4)*AI156</f>
        <v>0</v>
      </c>
      <c r="AU156" s="5">
        <f>($A156-2004)/((4-1)*$D$4)*AI156+(2004+4*$D$4-$A156)/((4-1)*$D$4)*AJ156</f>
        <v>0</v>
      </c>
      <c r="AV156" s="5">
        <f>($A156-2007)/((4-1)*$D$4)*AJ156+(2007+4*$D$4-$A156)/((4-1)*$D$4)*AK156</f>
        <v>0</v>
      </c>
      <c r="AW156" s="5">
        <f>($A156-2010)/((4-1)*$D$4)*AK156+(2010+4*$D$4-$A156)/((4-1)*$D$4)*AL156</f>
        <v>0</v>
      </c>
      <c r="AX156" s="5">
        <f>($A156-2013)/((4-1)*$D$4)*AL156+(2013+4*$D$4-$A156)/((4-1)*$D$4)*AM156</f>
        <v>0</v>
      </c>
      <c r="AY156" s="5">
        <f>($A156-2016)/((4-1)*$D$4)*AM156+(2016+4*$D$4-$A156)/((4-1)*$D$4)*AN156</f>
        <v>0</v>
      </c>
    </row>
    <row r="157">
      <c r="A157" s="3" t="n">
        <v>2002</v>
      </c>
      <c r="B157" s="5">
        <f>IF(AND($A157&gt;=1986,$A157&lt;1989),1,0)</f>
        <v>0</v>
      </c>
      <c r="C157" s="5">
        <f>IF(AND($A157&gt;=1989,$A157&lt;1992),1,0)</f>
        <v>0</v>
      </c>
      <c r="D157" s="5">
        <f>IF(AND($A157&gt;=1992,$A157&lt;1995),1,0)</f>
        <v>0</v>
      </c>
      <c r="E157" s="5">
        <f>IF(AND($A157&gt;=1995,$A157&lt;1998),1,0)</f>
        <v>0</v>
      </c>
      <c r="F157" s="5">
        <f>IF(AND($A157&gt;=1998,$A157&lt;2001),1,0)</f>
        <v>0</v>
      </c>
      <c r="G157" s="5">
        <f>IF(AND($A157&gt;=2001,$A157&lt;2004),1,0)</f>
        <v>1</v>
      </c>
      <c r="H157" s="5">
        <f>IF(AND($A157&gt;=2004,$A157&lt;2007),1,0)</f>
        <v>0</v>
      </c>
      <c r="I157" s="5">
        <f>IF(AND($A157&gt;=2007,$A157&lt;2010),1,0)</f>
        <v>0</v>
      </c>
      <c r="J157" s="5">
        <f>IF(AND($A157&gt;=2010,$A157&lt;2013),1,0)</f>
        <v>0</v>
      </c>
      <c r="K157" s="5">
        <f>IF(AND($A157&gt;=2013,$A157&lt;2016),1,0)</f>
        <v>0</v>
      </c>
      <c r="L157" s="5">
        <f>IF(AND($A157&gt;=2016,$A157&lt;2019),1,0)</f>
        <v>0</v>
      </c>
      <c r="M157" s="5">
        <f>IF(AND($A157&gt;=2019,$A157&lt;2022),1,0)</f>
        <v>0</v>
      </c>
      <c r="N157" s="5">
        <f>IF(AND($A157&gt;=2022,$A157&lt;2025),1,0)</f>
        <v>0</v>
      </c>
      <c r="O157" s="5">
        <f>IF(AND($A157&gt;=2025,$A157&lt;2028),1,0)</f>
        <v>0</v>
      </c>
      <c r="P157" s="5">
        <f>($A157-1986)/((2-1)*$D$4)*B157+(1986+2*$D$4-$A157)/((2-1)*$D$4)*C157</f>
        <v>0</v>
      </c>
      <c r="Q157" s="5">
        <f>($A157-1989)/((2-1)*$D$4)*C157+(1989+2*$D$4-$A157)/((2-1)*$D$4)*D157</f>
        <v>0</v>
      </c>
      <c r="R157" s="5">
        <f>($A157-1992)/((2-1)*$D$4)*D157+(1992+2*$D$4-$A157)/((2-1)*$D$4)*E157</f>
        <v>0</v>
      </c>
      <c r="S157" s="5">
        <f>($A157-1995)/((2-1)*$D$4)*E157+(1995+2*$D$4-$A157)/((2-1)*$D$4)*F157</f>
        <v>0</v>
      </c>
      <c r="T157" s="5">
        <f>($A157-1998)/((2-1)*$D$4)*F157+(1998+2*$D$4-$A157)/((2-1)*$D$4)*G157</f>
        <v>0.66666666666666663</v>
      </c>
      <c r="U157" s="5">
        <f>($A157-2001)/((2-1)*$D$4)*G157+(2001+2*$D$4-$A157)/((2-1)*$D$4)*H157</f>
        <v>0.33333333333333331</v>
      </c>
      <c r="V157" s="5">
        <f>($A157-2004)/((2-1)*$D$4)*H157+(2004+2*$D$4-$A157)/((2-1)*$D$4)*I157</f>
        <v>0</v>
      </c>
      <c r="W157" s="5">
        <f>($A157-2007)/((2-1)*$D$4)*I157+(2007+2*$D$4-$A157)/((2-1)*$D$4)*J157</f>
        <v>0</v>
      </c>
      <c r="X157" s="5">
        <f>($A157-2010)/((2-1)*$D$4)*J157+(2010+2*$D$4-$A157)/((2-1)*$D$4)*K157</f>
        <v>0</v>
      </c>
      <c r="Y157" s="5">
        <f>($A157-2013)/((2-1)*$D$4)*K157+(2013+2*$D$4-$A157)/((2-1)*$D$4)*L157</f>
        <v>0</v>
      </c>
      <c r="Z157" s="5">
        <f>($A157-2016)/((2-1)*$D$4)*L157+(2016+2*$D$4-$A157)/((2-1)*$D$4)*M157</f>
        <v>0</v>
      </c>
      <c r="AA157" s="5">
        <f>($A157-2019)/((2-1)*$D$4)*M157+(2019+2*$D$4-$A157)/((2-1)*$D$4)*N157</f>
        <v>0</v>
      </c>
      <c r="AB157" s="5">
        <f>($A157-2022)/((2-1)*$D$4)*N157+(2022+2*$D$4-$A157)/((2-1)*$D$4)*O157</f>
        <v>0</v>
      </c>
      <c r="AC157" s="5">
        <f>($A157-1986)/((3-1)*$D$4)*P157+(1986+3*$D$4-$A157)/((3-1)*$D$4)*Q157</f>
        <v>0</v>
      </c>
      <c r="AD157" s="5">
        <f>($A157-1989)/((3-1)*$D$4)*Q157+(1989+3*$D$4-$A157)/((3-1)*$D$4)*R157</f>
        <v>0</v>
      </c>
      <c r="AE157" s="5">
        <f>($A157-1992)/((3-1)*$D$4)*R157+(1992+3*$D$4-$A157)/((3-1)*$D$4)*S157</f>
        <v>0</v>
      </c>
      <c r="AF157" s="5">
        <f>($A157-1995)/((3-1)*$D$4)*S157+(1995+3*$D$4-$A157)/((3-1)*$D$4)*T157</f>
        <v>0.22222222222222221</v>
      </c>
      <c r="AG157" s="5">
        <f>($A157-1998)/((3-1)*$D$4)*T157+(1998+3*$D$4-$A157)/((3-1)*$D$4)*U157</f>
        <v>0.72222222222222221</v>
      </c>
      <c r="AH157" s="5">
        <f>($A157-2001)/((3-1)*$D$4)*U157+(2001+3*$D$4-$A157)/((3-1)*$D$4)*V157</f>
        <v>0.055555555555555552</v>
      </c>
      <c r="AI157" s="5">
        <f>($A157-2004)/((3-1)*$D$4)*V157+(2004+3*$D$4-$A157)/((3-1)*$D$4)*W157</f>
        <v>0</v>
      </c>
      <c r="AJ157" s="5">
        <f>($A157-2007)/((3-1)*$D$4)*W157+(2007+3*$D$4-$A157)/((3-1)*$D$4)*X157</f>
        <v>0</v>
      </c>
      <c r="AK157" s="5">
        <f>($A157-2010)/((3-1)*$D$4)*X157+(2010+3*$D$4-$A157)/((3-1)*$D$4)*Y157</f>
        <v>0</v>
      </c>
      <c r="AL157" s="5">
        <f>($A157-2013)/((3-1)*$D$4)*Y157+(2013+3*$D$4-$A157)/((3-1)*$D$4)*Z157</f>
        <v>0</v>
      </c>
      <c r="AM157" s="5">
        <f>($A157-2016)/((3-1)*$D$4)*Z157+(2016+3*$D$4-$A157)/((3-1)*$D$4)*AA157</f>
        <v>0</v>
      </c>
      <c r="AN157" s="5">
        <f>($A157-2019)/((3-1)*$D$4)*AA157+(2019+3*$D$4-$A157)/((3-1)*$D$4)*AB157</f>
        <v>0</v>
      </c>
      <c r="AO157" s="5">
        <f>($A157-1986)/((4-1)*$D$4)*AC157+(1986+4*$D$4-$A157)/((4-1)*$D$4)*AD157</f>
        <v>0</v>
      </c>
      <c r="AP157" s="5">
        <f>($A157-1989)/((4-1)*$D$4)*AD157+(1989+4*$D$4-$A157)/((4-1)*$D$4)*AE157</f>
        <v>0</v>
      </c>
      <c r="AQ157" s="5">
        <f>($A157-1992)/((4-1)*$D$4)*AE157+(1992+4*$D$4-$A157)/((4-1)*$D$4)*AF157</f>
        <v>0.049382716049382713</v>
      </c>
      <c r="AR157" s="5">
        <f>($A157-1995)/((4-1)*$D$4)*AF157+(1995+4*$D$4-$A157)/((4-1)*$D$4)*AG157</f>
        <v>0.57407407407407407</v>
      </c>
      <c r="AS157" s="5">
        <f>($A157-1998)/((4-1)*$D$4)*AG157+(1998+4*$D$4-$A157)/((4-1)*$D$4)*AH157</f>
        <v>0.37037037037037035</v>
      </c>
      <c r="AT157" s="5">
        <f>($A157-2001)/((4-1)*$D$4)*AH157+(2001+4*$D$4-$A157)/((4-1)*$D$4)*AI157</f>
        <v>0.0061728395061728392</v>
      </c>
      <c r="AU157" s="5">
        <f>($A157-2004)/((4-1)*$D$4)*AI157+(2004+4*$D$4-$A157)/((4-1)*$D$4)*AJ157</f>
        <v>0</v>
      </c>
      <c r="AV157" s="5">
        <f>($A157-2007)/((4-1)*$D$4)*AJ157+(2007+4*$D$4-$A157)/((4-1)*$D$4)*AK157</f>
        <v>0</v>
      </c>
      <c r="AW157" s="5">
        <f>($A157-2010)/((4-1)*$D$4)*AK157+(2010+4*$D$4-$A157)/((4-1)*$D$4)*AL157</f>
        <v>0</v>
      </c>
      <c r="AX157" s="5">
        <f>($A157-2013)/((4-1)*$D$4)*AL157+(2013+4*$D$4-$A157)/((4-1)*$D$4)*AM157</f>
        <v>0</v>
      </c>
      <c r="AY157" s="5">
        <f>($A157-2016)/((4-1)*$D$4)*AM157+(2016+4*$D$4-$A157)/((4-1)*$D$4)*AN157</f>
        <v>0</v>
      </c>
    </row>
    <row r="158">
      <c r="A158" s="3" t="n">
        <v>2003</v>
      </c>
      <c r="B158" s="5">
        <f>IF(AND($A158&gt;=1986,$A158&lt;1989),1,0)</f>
        <v>0</v>
      </c>
      <c r="C158" s="5">
        <f>IF(AND($A158&gt;=1989,$A158&lt;1992),1,0)</f>
        <v>0</v>
      </c>
      <c r="D158" s="5">
        <f>IF(AND($A158&gt;=1992,$A158&lt;1995),1,0)</f>
        <v>0</v>
      </c>
      <c r="E158" s="5">
        <f>IF(AND($A158&gt;=1995,$A158&lt;1998),1,0)</f>
        <v>0</v>
      </c>
      <c r="F158" s="5">
        <f>IF(AND($A158&gt;=1998,$A158&lt;2001),1,0)</f>
        <v>0</v>
      </c>
      <c r="G158" s="5">
        <f>IF(AND($A158&gt;=2001,$A158&lt;2004),1,0)</f>
        <v>1</v>
      </c>
      <c r="H158" s="5">
        <f>IF(AND($A158&gt;=2004,$A158&lt;2007),1,0)</f>
        <v>0</v>
      </c>
      <c r="I158" s="5">
        <f>IF(AND($A158&gt;=2007,$A158&lt;2010),1,0)</f>
        <v>0</v>
      </c>
      <c r="J158" s="5">
        <f>IF(AND($A158&gt;=2010,$A158&lt;2013),1,0)</f>
        <v>0</v>
      </c>
      <c r="K158" s="5">
        <f>IF(AND($A158&gt;=2013,$A158&lt;2016),1,0)</f>
        <v>0</v>
      </c>
      <c r="L158" s="5">
        <f>IF(AND($A158&gt;=2016,$A158&lt;2019),1,0)</f>
        <v>0</v>
      </c>
      <c r="M158" s="5">
        <f>IF(AND($A158&gt;=2019,$A158&lt;2022),1,0)</f>
        <v>0</v>
      </c>
      <c r="N158" s="5">
        <f>IF(AND($A158&gt;=2022,$A158&lt;2025),1,0)</f>
        <v>0</v>
      </c>
      <c r="O158" s="5">
        <f>IF(AND($A158&gt;=2025,$A158&lt;2028),1,0)</f>
        <v>0</v>
      </c>
      <c r="P158" s="5">
        <f>($A158-1986)/((2-1)*$D$4)*B158+(1986+2*$D$4-$A158)/((2-1)*$D$4)*C158</f>
        <v>0</v>
      </c>
      <c r="Q158" s="5">
        <f>($A158-1989)/((2-1)*$D$4)*C158+(1989+2*$D$4-$A158)/((2-1)*$D$4)*D158</f>
        <v>0</v>
      </c>
      <c r="R158" s="5">
        <f>($A158-1992)/((2-1)*$D$4)*D158+(1992+2*$D$4-$A158)/((2-1)*$D$4)*E158</f>
        <v>0</v>
      </c>
      <c r="S158" s="5">
        <f>($A158-1995)/((2-1)*$D$4)*E158+(1995+2*$D$4-$A158)/((2-1)*$D$4)*F158</f>
        <v>0</v>
      </c>
      <c r="T158" s="5">
        <f>($A158-1998)/((2-1)*$D$4)*F158+(1998+2*$D$4-$A158)/((2-1)*$D$4)*G158</f>
        <v>0.33333333333333331</v>
      </c>
      <c r="U158" s="5">
        <f>($A158-2001)/((2-1)*$D$4)*G158+(2001+2*$D$4-$A158)/((2-1)*$D$4)*H158</f>
        <v>0.66666666666666663</v>
      </c>
      <c r="V158" s="5">
        <f>($A158-2004)/((2-1)*$D$4)*H158+(2004+2*$D$4-$A158)/((2-1)*$D$4)*I158</f>
        <v>0</v>
      </c>
      <c r="W158" s="5">
        <f>($A158-2007)/((2-1)*$D$4)*I158+(2007+2*$D$4-$A158)/((2-1)*$D$4)*J158</f>
        <v>0</v>
      </c>
      <c r="X158" s="5">
        <f>($A158-2010)/((2-1)*$D$4)*J158+(2010+2*$D$4-$A158)/((2-1)*$D$4)*K158</f>
        <v>0</v>
      </c>
      <c r="Y158" s="5">
        <f>($A158-2013)/((2-1)*$D$4)*K158+(2013+2*$D$4-$A158)/((2-1)*$D$4)*L158</f>
        <v>0</v>
      </c>
      <c r="Z158" s="5">
        <f>($A158-2016)/((2-1)*$D$4)*L158+(2016+2*$D$4-$A158)/((2-1)*$D$4)*M158</f>
        <v>0</v>
      </c>
      <c r="AA158" s="5">
        <f>($A158-2019)/((2-1)*$D$4)*M158+(2019+2*$D$4-$A158)/((2-1)*$D$4)*N158</f>
        <v>0</v>
      </c>
      <c r="AB158" s="5">
        <f>($A158-2022)/((2-1)*$D$4)*N158+(2022+2*$D$4-$A158)/((2-1)*$D$4)*O158</f>
        <v>0</v>
      </c>
      <c r="AC158" s="5">
        <f>($A158-1986)/((3-1)*$D$4)*P158+(1986+3*$D$4-$A158)/((3-1)*$D$4)*Q158</f>
        <v>0</v>
      </c>
      <c r="AD158" s="5">
        <f>($A158-1989)/((3-1)*$D$4)*Q158+(1989+3*$D$4-$A158)/((3-1)*$D$4)*R158</f>
        <v>0</v>
      </c>
      <c r="AE158" s="5">
        <f>($A158-1992)/((3-1)*$D$4)*R158+(1992+3*$D$4-$A158)/((3-1)*$D$4)*S158</f>
        <v>0</v>
      </c>
      <c r="AF158" s="5">
        <f>($A158-1995)/((3-1)*$D$4)*S158+(1995+3*$D$4-$A158)/((3-1)*$D$4)*T158</f>
        <v>0.055555555555555552</v>
      </c>
      <c r="AG158" s="5">
        <f>($A158-1998)/((3-1)*$D$4)*T158+(1998+3*$D$4-$A158)/((3-1)*$D$4)*U158</f>
        <v>0.72222222222222221</v>
      </c>
      <c r="AH158" s="5">
        <f>($A158-2001)/((3-1)*$D$4)*U158+(2001+3*$D$4-$A158)/((3-1)*$D$4)*V158</f>
        <v>0.22222222222222221</v>
      </c>
      <c r="AI158" s="5">
        <f>($A158-2004)/((3-1)*$D$4)*V158+(2004+3*$D$4-$A158)/((3-1)*$D$4)*W158</f>
        <v>0</v>
      </c>
      <c r="AJ158" s="5">
        <f>($A158-2007)/((3-1)*$D$4)*W158+(2007+3*$D$4-$A158)/((3-1)*$D$4)*X158</f>
        <v>0</v>
      </c>
      <c r="AK158" s="5">
        <f>($A158-2010)/((3-1)*$D$4)*X158+(2010+3*$D$4-$A158)/((3-1)*$D$4)*Y158</f>
        <v>0</v>
      </c>
      <c r="AL158" s="5">
        <f>($A158-2013)/((3-1)*$D$4)*Y158+(2013+3*$D$4-$A158)/((3-1)*$D$4)*Z158</f>
        <v>0</v>
      </c>
      <c r="AM158" s="5">
        <f>($A158-2016)/((3-1)*$D$4)*Z158+(2016+3*$D$4-$A158)/((3-1)*$D$4)*AA158</f>
        <v>0</v>
      </c>
      <c r="AN158" s="5">
        <f>($A158-2019)/((3-1)*$D$4)*AA158+(2019+3*$D$4-$A158)/((3-1)*$D$4)*AB158</f>
        <v>0</v>
      </c>
      <c r="AO158" s="5">
        <f>($A158-1986)/((4-1)*$D$4)*AC158+(1986+4*$D$4-$A158)/((4-1)*$D$4)*AD158</f>
        <v>0</v>
      </c>
      <c r="AP158" s="5">
        <f>($A158-1989)/((4-1)*$D$4)*AD158+(1989+4*$D$4-$A158)/((4-1)*$D$4)*AE158</f>
        <v>0</v>
      </c>
      <c r="AQ158" s="5">
        <f>($A158-1992)/((4-1)*$D$4)*AE158+(1992+4*$D$4-$A158)/((4-1)*$D$4)*AF158</f>
        <v>0.0061728395061728392</v>
      </c>
      <c r="AR158" s="5">
        <f>($A158-1995)/((4-1)*$D$4)*AF158+(1995+4*$D$4-$A158)/((4-1)*$D$4)*AG158</f>
        <v>0.37037037037037035</v>
      </c>
      <c r="AS158" s="5">
        <f>($A158-1998)/((4-1)*$D$4)*AG158+(1998+4*$D$4-$A158)/((4-1)*$D$4)*AH158</f>
        <v>0.57407407407407407</v>
      </c>
      <c r="AT158" s="5">
        <f>($A158-2001)/((4-1)*$D$4)*AH158+(2001+4*$D$4-$A158)/((4-1)*$D$4)*AI158</f>
        <v>0.049382716049382713</v>
      </c>
      <c r="AU158" s="5">
        <f>($A158-2004)/((4-1)*$D$4)*AI158+(2004+4*$D$4-$A158)/((4-1)*$D$4)*AJ158</f>
        <v>0</v>
      </c>
      <c r="AV158" s="5">
        <f>($A158-2007)/((4-1)*$D$4)*AJ158+(2007+4*$D$4-$A158)/((4-1)*$D$4)*AK158</f>
        <v>0</v>
      </c>
      <c r="AW158" s="5">
        <f>($A158-2010)/((4-1)*$D$4)*AK158+(2010+4*$D$4-$A158)/((4-1)*$D$4)*AL158</f>
        <v>0</v>
      </c>
      <c r="AX158" s="5">
        <f>($A158-2013)/((4-1)*$D$4)*AL158+(2013+4*$D$4-$A158)/((4-1)*$D$4)*AM158</f>
        <v>0</v>
      </c>
      <c r="AY158" s="5">
        <f>($A158-2016)/((4-1)*$D$4)*AM158+(2016+4*$D$4-$A158)/((4-1)*$D$4)*AN158</f>
        <v>0</v>
      </c>
    </row>
    <row r="159">
      <c r="A159" s="3" t="n">
        <v>2004</v>
      </c>
      <c r="B159" s="5">
        <f>IF(AND($A159&gt;=1986,$A159&lt;1989),1,0)</f>
        <v>0</v>
      </c>
      <c r="C159" s="5">
        <f>IF(AND($A159&gt;=1989,$A159&lt;1992),1,0)</f>
        <v>0</v>
      </c>
      <c r="D159" s="5">
        <f>IF(AND($A159&gt;=1992,$A159&lt;1995),1,0)</f>
        <v>0</v>
      </c>
      <c r="E159" s="5">
        <f>IF(AND($A159&gt;=1995,$A159&lt;1998),1,0)</f>
        <v>0</v>
      </c>
      <c r="F159" s="5">
        <f>IF(AND($A159&gt;=1998,$A159&lt;2001),1,0)</f>
        <v>0</v>
      </c>
      <c r="G159" s="5">
        <f>IF(AND($A159&gt;=2001,$A159&lt;2004),1,0)</f>
        <v>0</v>
      </c>
      <c r="H159" s="5">
        <f>IF(AND($A159&gt;=2004,$A159&lt;2007),1,0)</f>
        <v>1</v>
      </c>
      <c r="I159" s="5">
        <f>IF(AND($A159&gt;=2007,$A159&lt;2010),1,0)</f>
        <v>0</v>
      </c>
      <c r="J159" s="5">
        <f>IF(AND($A159&gt;=2010,$A159&lt;2013),1,0)</f>
        <v>0</v>
      </c>
      <c r="K159" s="5">
        <f>IF(AND($A159&gt;=2013,$A159&lt;2016),1,0)</f>
        <v>0</v>
      </c>
      <c r="L159" s="5">
        <f>IF(AND($A159&gt;=2016,$A159&lt;2019),1,0)</f>
        <v>0</v>
      </c>
      <c r="M159" s="5">
        <f>IF(AND($A159&gt;=2019,$A159&lt;2022),1,0)</f>
        <v>0</v>
      </c>
      <c r="N159" s="5">
        <f>IF(AND($A159&gt;=2022,$A159&lt;2025),1,0)</f>
        <v>0</v>
      </c>
      <c r="O159" s="5">
        <f>IF(AND($A159&gt;=2025,$A159&lt;2028),1,0)</f>
        <v>0</v>
      </c>
      <c r="P159" s="5">
        <f>($A159-1986)/((2-1)*$D$4)*B159+(1986+2*$D$4-$A159)/((2-1)*$D$4)*C159</f>
        <v>0</v>
      </c>
      <c r="Q159" s="5">
        <f>($A159-1989)/((2-1)*$D$4)*C159+(1989+2*$D$4-$A159)/((2-1)*$D$4)*D159</f>
        <v>0</v>
      </c>
      <c r="R159" s="5">
        <f>($A159-1992)/((2-1)*$D$4)*D159+(1992+2*$D$4-$A159)/((2-1)*$D$4)*E159</f>
        <v>0</v>
      </c>
      <c r="S159" s="5">
        <f>($A159-1995)/((2-1)*$D$4)*E159+(1995+2*$D$4-$A159)/((2-1)*$D$4)*F159</f>
        <v>0</v>
      </c>
      <c r="T159" s="5">
        <f>($A159-1998)/((2-1)*$D$4)*F159+(1998+2*$D$4-$A159)/((2-1)*$D$4)*G159</f>
        <v>0</v>
      </c>
      <c r="U159" s="5">
        <f>($A159-2001)/((2-1)*$D$4)*G159+(2001+2*$D$4-$A159)/((2-1)*$D$4)*H159</f>
        <v>1</v>
      </c>
      <c r="V159" s="5">
        <f>($A159-2004)/((2-1)*$D$4)*H159+(2004+2*$D$4-$A159)/((2-1)*$D$4)*I159</f>
        <v>0</v>
      </c>
      <c r="W159" s="5">
        <f>($A159-2007)/((2-1)*$D$4)*I159+(2007+2*$D$4-$A159)/((2-1)*$D$4)*J159</f>
        <v>0</v>
      </c>
      <c r="X159" s="5">
        <f>($A159-2010)/((2-1)*$D$4)*J159+(2010+2*$D$4-$A159)/((2-1)*$D$4)*K159</f>
        <v>0</v>
      </c>
      <c r="Y159" s="5">
        <f>($A159-2013)/((2-1)*$D$4)*K159+(2013+2*$D$4-$A159)/((2-1)*$D$4)*L159</f>
        <v>0</v>
      </c>
      <c r="Z159" s="5">
        <f>($A159-2016)/((2-1)*$D$4)*L159+(2016+2*$D$4-$A159)/((2-1)*$D$4)*M159</f>
        <v>0</v>
      </c>
      <c r="AA159" s="5">
        <f>($A159-2019)/((2-1)*$D$4)*M159+(2019+2*$D$4-$A159)/((2-1)*$D$4)*N159</f>
        <v>0</v>
      </c>
      <c r="AB159" s="5">
        <f>($A159-2022)/((2-1)*$D$4)*N159+(2022+2*$D$4-$A159)/((2-1)*$D$4)*O159</f>
        <v>0</v>
      </c>
      <c r="AC159" s="5">
        <f>($A159-1986)/((3-1)*$D$4)*P159+(1986+3*$D$4-$A159)/((3-1)*$D$4)*Q159</f>
        <v>0</v>
      </c>
      <c r="AD159" s="5">
        <f>($A159-1989)/((3-1)*$D$4)*Q159+(1989+3*$D$4-$A159)/((3-1)*$D$4)*R159</f>
        <v>0</v>
      </c>
      <c r="AE159" s="5">
        <f>($A159-1992)/((3-1)*$D$4)*R159+(1992+3*$D$4-$A159)/((3-1)*$D$4)*S159</f>
        <v>0</v>
      </c>
      <c r="AF159" s="5">
        <f>($A159-1995)/((3-1)*$D$4)*S159+(1995+3*$D$4-$A159)/((3-1)*$D$4)*T159</f>
        <v>0</v>
      </c>
      <c r="AG159" s="5">
        <f>($A159-1998)/((3-1)*$D$4)*T159+(1998+3*$D$4-$A159)/((3-1)*$D$4)*U159</f>
        <v>0.5</v>
      </c>
      <c r="AH159" s="5">
        <f>($A159-2001)/((3-1)*$D$4)*U159+(2001+3*$D$4-$A159)/((3-1)*$D$4)*V159</f>
        <v>0.5</v>
      </c>
      <c r="AI159" s="5">
        <f>($A159-2004)/((3-1)*$D$4)*V159+(2004+3*$D$4-$A159)/((3-1)*$D$4)*W159</f>
        <v>0</v>
      </c>
      <c r="AJ159" s="5">
        <f>($A159-2007)/((3-1)*$D$4)*W159+(2007+3*$D$4-$A159)/((3-1)*$D$4)*X159</f>
        <v>0</v>
      </c>
      <c r="AK159" s="5">
        <f>($A159-2010)/((3-1)*$D$4)*X159+(2010+3*$D$4-$A159)/((3-1)*$D$4)*Y159</f>
        <v>0</v>
      </c>
      <c r="AL159" s="5">
        <f>($A159-2013)/((3-1)*$D$4)*Y159+(2013+3*$D$4-$A159)/((3-1)*$D$4)*Z159</f>
        <v>0</v>
      </c>
      <c r="AM159" s="5">
        <f>($A159-2016)/((3-1)*$D$4)*Z159+(2016+3*$D$4-$A159)/((3-1)*$D$4)*AA159</f>
        <v>0</v>
      </c>
      <c r="AN159" s="5">
        <f>($A159-2019)/((3-1)*$D$4)*AA159+(2019+3*$D$4-$A159)/((3-1)*$D$4)*AB159</f>
        <v>0</v>
      </c>
      <c r="AO159" s="5">
        <f>($A159-1986)/((4-1)*$D$4)*AC159+(1986+4*$D$4-$A159)/((4-1)*$D$4)*AD159</f>
        <v>0</v>
      </c>
      <c r="AP159" s="5">
        <f>($A159-1989)/((4-1)*$D$4)*AD159+(1989+4*$D$4-$A159)/((4-1)*$D$4)*AE159</f>
        <v>0</v>
      </c>
      <c r="AQ159" s="5">
        <f>($A159-1992)/((4-1)*$D$4)*AE159+(1992+4*$D$4-$A159)/((4-1)*$D$4)*AF159</f>
        <v>0</v>
      </c>
      <c r="AR159" s="5">
        <f>($A159-1995)/((4-1)*$D$4)*AF159+(1995+4*$D$4-$A159)/((4-1)*$D$4)*AG159</f>
        <v>0.16666666666666666</v>
      </c>
      <c r="AS159" s="5">
        <f>($A159-1998)/((4-1)*$D$4)*AG159+(1998+4*$D$4-$A159)/((4-1)*$D$4)*AH159</f>
        <v>0.66666666666666663</v>
      </c>
      <c r="AT159" s="5">
        <f>($A159-2001)/((4-1)*$D$4)*AH159+(2001+4*$D$4-$A159)/((4-1)*$D$4)*AI159</f>
        <v>0.16666666666666666</v>
      </c>
      <c r="AU159" s="5">
        <f>($A159-2004)/((4-1)*$D$4)*AI159+(2004+4*$D$4-$A159)/((4-1)*$D$4)*AJ159</f>
        <v>0</v>
      </c>
      <c r="AV159" s="5">
        <f>($A159-2007)/((4-1)*$D$4)*AJ159+(2007+4*$D$4-$A159)/((4-1)*$D$4)*AK159</f>
        <v>0</v>
      </c>
      <c r="AW159" s="5">
        <f>($A159-2010)/((4-1)*$D$4)*AK159+(2010+4*$D$4-$A159)/((4-1)*$D$4)*AL159</f>
        <v>0</v>
      </c>
      <c r="AX159" s="5">
        <f>($A159-2013)/((4-1)*$D$4)*AL159+(2013+4*$D$4-$A159)/((4-1)*$D$4)*AM159</f>
        <v>0</v>
      </c>
      <c r="AY159" s="5">
        <f>($A159-2016)/((4-1)*$D$4)*AM159+(2016+4*$D$4-$A159)/((4-1)*$D$4)*AN159</f>
        <v>0</v>
      </c>
    </row>
    <row r="160">
      <c r="A160" s="3" t="n">
        <v>2005</v>
      </c>
      <c r="B160" s="5">
        <f>IF(AND($A160&gt;=1986,$A160&lt;1989),1,0)</f>
        <v>0</v>
      </c>
      <c r="C160" s="5">
        <f>IF(AND($A160&gt;=1989,$A160&lt;1992),1,0)</f>
        <v>0</v>
      </c>
      <c r="D160" s="5">
        <f>IF(AND($A160&gt;=1992,$A160&lt;1995),1,0)</f>
        <v>0</v>
      </c>
      <c r="E160" s="5">
        <f>IF(AND($A160&gt;=1995,$A160&lt;1998),1,0)</f>
        <v>0</v>
      </c>
      <c r="F160" s="5">
        <f>IF(AND($A160&gt;=1998,$A160&lt;2001),1,0)</f>
        <v>0</v>
      </c>
      <c r="G160" s="5">
        <f>IF(AND($A160&gt;=2001,$A160&lt;2004),1,0)</f>
        <v>0</v>
      </c>
      <c r="H160" s="5">
        <f>IF(AND($A160&gt;=2004,$A160&lt;2007),1,0)</f>
        <v>1</v>
      </c>
      <c r="I160" s="5">
        <f>IF(AND($A160&gt;=2007,$A160&lt;2010),1,0)</f>
        <v>0</v>
      </c>
      <c r="J160" s="5">
        <f>IF(AND($A160&gt;=2010,$A160&lt;2013),1,0)</f>
        <v>0</v>
      </c>
      <c r="K160" s="5">
        <f>IF(AND($A160&gt;=2013,$A160&lt;2016),1,0)</f>
        <v>0</v>
      </c>
      <c r="L160" s="5">
        <f>IF(AND($A160&gt;=2016,$A160&lt;2019),1,0)</f>
        <v>0</v>
      </c>
      <c r="M160" s="5">
        <f>IF(AND($A160&gt;=2019,$A160&lt;2022),1,0)</f>
        <v>0</v>
      </c>
      <c r="N160" s="5">
        <f>IF(AND($A160&gt;=2022,$A160&lt;2025),1,0)</f>
        <v>0</v>
      </c>
      <c r="O160" s="5">
        <f>IF(AND($A160&gt;=2025,$A160&lt;2028),1,0)</f>
        <v>0</v>
      </c>
      <c r="P160" s="5">
        <f>($A160-1986)/((2-1)*$D$4)*B160+(1986+2*$D$4-$A160)/((2-1)*$D$4)*C160</f>
        <v>0</v>
      </c>
      <c r="Q160" s="5">
        <f>($A160-1989)/((2-1)*$D$4)*C160+(1989+2*$D$4-$A160)/((2-1)*$D$4)*D160</f>
        <v>0</v>
      </c>
      <c r="R160" s="5">
        <f>($A160-1992)/((2-1)*$D$4)*D160+(1992+2*$D$4-$A160)/((2-1)*$D$4)*E160</f>
        <v>0</v>
      </c>
      <c r="S160" s="5">
        <f>($A160-1995)/((2-1)*$D$4)*E160+(1995+2*$D$4-$A160)/((2-1)*$D$4)*F160</f>
        <v>0</v>
      </c>
      <c r="T160" s="5">
        <f>($A160-1998)/((2-1)*$D$4)*F160+(1998+2*$D$4-$A160)/((2-1)*$D$4)*G160</f>
        <v>0</v>
      </c>
      <c r="U160" s="5">
        <f>($A160-2001)/((2-1)*$D$4)*G160+(2001+2*$D$4-$A160)/((2-1)*$D$4)*H160</f>
        <v>0.66666666666666663</v>
      </c>
      <c r="V160" s="5">
        <f>($A160-2004)/((2-1)*$D$4)*H160+(2004+2*$D$4-$A160)/((2-1)*$D$4)*I160</f>
        <v>0.33333333333333331</v>
      </c>
      <c r="W160" s="5">
        <f>($A160-2007)/((2-1)*$D$4)*I160+(2007+2*$D$4-$A160)/((2-1)*$D$4)*J160</f>
        <v>0</v>
      </c>
      <c r="X160" s="5">
        <f>($A160-2010)/((2-1)*$D$4)*J160+(2010+2*$D$4-$A160)/((2-1)*$D$4)*K160</f>
        <v>0</v>
      </c>
      <c r="Y160" s="5">
        <f>($A160-2013)/((2-1)*$D$4)*K160+(2013+2*$D$4-$A160)/((2-1)*$D$4)*L160</f>
        <v>0</v>
      </c>
      <c r="Z160" s="5">
        <f>($A160-2016)/((2-1)*$D$4)*L160+(2016+2*$D$4-$A160)/((2-1)*$D$4)*M160</f>
        <v>0</v>
      </c>
      <c r="AA160" s="5">
        <f>($A160-2019)/((2-1)*$D$4)*M160+(2019+2*$D$4-$A160)/((2-1)*$D$4)*N160</f>
        <v>0</v>
      </c>
      <c r="AB160" s="5">
        <f>($A160-2022)/((2-1)*$D$4)*N160+(2022+2*$D$4-$A160)/((2-1)*$D$4)*O160</f>
        <v>0</v>
      </c>
      <c r="AC160" s="5">
        <f>($A160-1986)/((3-1)*$D$4)*P160+(1986+3*$D$4-$A160)/((3-1)*$D$4)*Q160</f>
        <v>0</v>
      </c>
      <c r="AD160" s="5">
        <f>($A160-1989)/((3-1)*$D$4)*Q160+(1989+3*$D$4-$A160)/((3-1)*$D$4)*R160</f>
        <v>0</v>
      </c>
      <c r="AE160" s="5">
        <f>($A160-1992)/((3-1)*$D$4)*R160+(1992+3*$D$4-$A160)/((3-1)*$D$4)*S160</f>
        <v>0</v>
      </c>
      <c r="AF160" s="5">
        <f>($A160-1995)/((3-1)*$D$4)*S160+(1995+3*$D$4-$A160)/((3-1)*$D$4)*T160</f>
        <v>0</v>
      </c>
      <c r="AG160" s="5">
        <f>($A160-1998)/((3-1)*$D$4)*T160+(1998+3*$D$4-$A160)/((3-1)*$D$4)*U160</f>
        <v>0.22222222222222221</v>
      </c>
      <c r="AH160" s="5">
        <f>($A160-2001)/((3-1)*$D$4)*U160+(2001+3*$D$4-$A160)/((3-1)*$D$4)*V160</f>
        <v>0.72222222222222221</v>
      </c>
      <c r="AI160" s="5">
        <f>($A160-2004)/((3-1)*$D$4)*V160+(2004+3*$D$4-$A160)/((3-1)*$D$4)*W160</f>
        <v>0.055555555555555552</v>
      </c>
      <c r="AJ160" s="5">
        <f>($A160-2007)/((3-1)*$D$4)*W160+(2007+3*$D$4-$A160)/((3-1)*$D$4)*X160</f>
        <v>0</v>
      </c>
      <c r="AK160" s="5">
        <f>($A160-2010)/((3-1)*$D$4)*X160+(2010+3*$D$4-$A160)/((3-1)*$D$4)*Y160</f>
        <v>0</v>
      </c>
      <c r="AL160" s="5">
        <f>($A160-2013)/((3-1)*$D$4)*Y160+(2013+3*$D$4-$A160)/((3-1)*$D$4)*Z160</f>
        <v>0</v>
      </c>
      <c r="AM160" s="5">
        <f>($A160-2016)/((3-1)*$D$4)*Z160+(2016+3*$D$4-$A160)/((3-1)*$D$4)*AA160</f>
        <v>0</v>
      </c>
      <c r="AN160" s="5">
        <f>($A160-2019)/((3-1)*$D$4)*AA160+(2019+3*$D$4-$A160)/((3-1)*$D$4)*AB160</f>
        <v>0</v>
      </c>
      <c r="AO160" s="5">
        <f>($A160-1986)/((4-1)*$D$4)*AC160+(1986+4*$D$4-$A160)/((4-1)*$D$4)*AD160</f>
        <v>0</v>
      </c>
      <c r="AP160" s="5">
        <f>($A160-1989)/((4-1)*$D$4)*AD160+(1989+4*$D$4-$A160)/((4-1)*$D$4)*AE160</f>
        <v>0</v>
      </c>
      <c r="AQ160" s="5">
        <f>($A160-1992)/((4-1)*$D$4)*AE160+(1992+4*$D$4-$A160)/((4-1)*$D$4)*AF160</f>
        <v>0</v>
      </c>
      <c r="AR160" s="5">
        <f>($A160-1995)/((4-1)*$D$4)*AF160+(1995+4*$D$4-$A160)/((4-1)*$D$4)*AG160</f>
        <v>0.049382716049382713</v>
      </c>
      <c r="AS160" s="5">
        <f>($A160-1998)/((4-1)*$D$4)*AG160+(1998+4*$D$4-$A160)/((4-1)*$D$4)*AH160</f>
        <v>0.57407407407407407</v>
      </c>
      <c r="AT160" s="5">
        <f>($A160-2001)/((4-1)*$D$4)*AH160+(2001+4*$D$4-$A160)/((4-1)*$D$4)*AI160</f>
        <v>0.37037037037037035</v>
      </c>
      <c r="AU160" s="5">
        <f>($A160-2004)/((4-1)*$D$4)*AI160+(2004+4*$D$4-$A160)/((4-1)*$D$4)*AJ160</f>
        <v>0.0061728395061728392</v>
      </c>
      <c r="AV160" s="5">
        <f>($A160-2007)/((4-1)*$D$4)*AJ160+(2007+4*$D$4-$A160)/((4-1)*$D$4)*AK160</f>
        <v>0</v>
      </c>
      <c r="AW160" s="5">
        <f>($A160-2010)/((4-1)*$D$4)*AK160+(2010+4*$D$4-$A160)/((4-1)*$D$4)*AL160</f>
        <v>0</v>
      </c>
      <c r="AX160" s="5">
        <f>($A160-2013)/((4-1)*$D$4)*AL160+(2013+4*$D$4-$A160)/((4-1)*$D$4)*AM160</f>
        <v>0</v>
      </c>
      <c r="AY160" s="5">
        <f>($A160-2016)/((4-1)*$D$4)*AM160+(2016+4*$D$4-$A160)/((4-1)*$D$4)*AN160</f>
        <v>0</v>
      </c>
    </row>
    <row r="161">
      <c r="A161" s="3" t="n">
        <v>2006</v>
      </c>
      <c r="B161" s="5">
        <f>IF(AND($A161&gt;=1986,$A161&lt;1989),1,0)</f>
        <v>0</v>
      </c>
      <c r="C161" s="5">
        <f>IF(AND($A161&gt;=1989,$A161&lt;1992),1,0)</f>
        <v>0</v>
      </c>
      <c r="D161" s="5">
        <f>IF(AND($A161&gt;=1992,$A161&lt;1995),1,0)</f>
        <v>0</v>
      </c>
      <c r="E161" s="5">
        <f>IF(AND($A161&gt;=1995,$A161&lt;1998),1,0)</f>
        <v>0</v>
      </c>
      <c r="F161" s="5">
        <f>IF(AND($A161&gt;=1998,$A161&lt;2001),1,0)</f>
        <v>0</v>
      </c>
      <c r="G161" s="5">
        <f>IF(AND($A161&gt;=2001,$A161&lt;2004),1,0)</f>
        <v>0</v>
      </c>
      <c r="H161" s="5">
        <f>IF(AND($A161&gt;=2004,$A161&lt;2007),1,0)</f>
        <v>1</v>
      </c>
      <c r="I161" s="5">
        <f>IF(AND($A161&gt;=2007,$A161&lt;2010),1,0)</f>
        <v>0</v>
      </c>
      <c r="J161" s="5">
        <f>IF(AND($A161&gt;=2010,$A161&lt;2013),1,0)</f>
        <v>0</v>
      </c>
      <c r="K161" s="5">
        <f>IF(AND($A161&gt;=2013,$A161&lt;2016),1,0)</f>
        <v>0</v>
      </c>
      <c r="L161" s="5">
        <f>IF(AND($A161&gt;=2016,$A161&lt;2019),1,0)</f>
        <v>0</v>
      </c>
      <c r="M161" s="5">
        <f>IF(AND($A161&gt;=2019,$A161&lt;2022),1,0)</f>
        <v>0</v>
      </c>
      <c r="N161" s="5">
        <f>IF(AND($A161&gt;=2022,$A161&lt;2025),1,0)</f>
        <v>0</v>
      </c>
      <c r="O161" s="5">
        <f>IF(AND($A161&gt;=2025,$A161&lt;2028),1,0)</f>
        <v>0</v>
      </c>
      <c r="P161" s="5">
        <f>($A161-1986)/((2-1)*$D$4)*B161+(1986+2*$D$4-$A161)/((2-1)*$D$4)*C161</f>
        <v>0</v>
      </c>
      <c r="Q161" s="5">
        <f>($A161-1989)/((2-1)*$D$4)*C161+(1989+2*$D$4-$A161)/((2-1)*$D$4)*D161</f>
        <v>0</v>
      </c>
      <c r="R161" s="5">
        <f>($A161-1992)/((2-1)*$D$4)*D161+(1992+2*$D$4-$A161)/((2-1)*$D$4)*E161</f>
        <v>0</v>
      </c>
      <c r="S161" s="5">
        <f>($A161-1995)/((2-1)*$D$4)*E161+(1995+2*$D$4-$A161)/((2-1)*$D$4)*F161</f>
        <v>0</v>
      </c>
      <c r="T161" s="5">
        <f>($A161-1998)/((2-1)*$D$4)*F161+(1998+2*$D$4-$A161)/((2-1)*$D$4)*G161</f>
        <v>0</v>
      </c>
      <c r="U161" s="5">
        <f>($A161-2001)/((2-1)*$D$4)*G161+(2001+2*$D$4-$A161)/((2-1)*$D$4)*H161</f>
        <v>0.33333333333333331</v>
      </c>
      <c r="V161" s="5">
        <f>($A161-2004)/((2-1)*$D$4)*H161+(2004+2*$D$4-$A161)/((2-1)*$D$4)*I161</f>
        <v>0.66666666666666663</v>
      </c>
      <c r="W161" s="5">
        <f>($A161-2007)/((2-1)*$D$4)*I161+(2007+2*$D$4-$A161)/((2-1)*$D$4)*J161</f>
        <v>0</v>
      </c>
      <c r="X161" s="5">
        <f>($A161-2010)/((2-1)*$D$4)*J161+(2010+2*$D$4-$A161)/((2-1)*$D$4)*K161</f>
        <v>0</v>
      </c>
      <c r="Y161" s="5">
        <f>($A161-2013)/((2-1)*$D$4)*K161+(2013+2*$D$4-$A161)/((2-1)*$D$4)*L161</f>
        <v>0</v>
      </c>
      <c r="Z161" s="5">
        <f>($A161-2016)/((2-1)*$D$4)*L161+(2016+2*$D$4-$A161)/((2-1)*$D$4)*M161</f>
        <v>0</v>
      </c>
      <c r="AA161" s="5">
        <f>($A161-2019)/((2-1)*$D$4)*M161+(2019+2*$D$4-$A161)/((2-1)*$D$4)*N161</f>
        <v>0</v>
      </c>
      <c r="AB161" s="5">
        <f>($A161-2022)/((2-1)*$D$4)*N161+(2022+2*$D$4-$A161)/((2-1)*$D$4)*O161</f>
        <v>0</v>
      </c>
      <c r="AC161" s="5">
        <f>($A161-1986)/((3-1)*$D$4)*P161+(1986+3*$D$4-$A161)/((3-1)*$D$4)*Q161</f>
        <v>0</v>
      </c>
      <c r="AD161" s="5">
        <f>($A161-1989)/((3-1)*$D$4)*Q161+(1989+3*$D$4-$A161)/((3-1)*$D$4)*R161</f>
        <v>0</v>
      </c>
      <c r="AE161" s="5">
        <f>($A161-1992)/((3-1)*$D$4)*R161+(1992+3*$D$4-$A161)/((3-1)*$D$4)*S161</f>
        <v>0</v>
      </c>
      <c r="AF161" s="5">
        <f>($A161-1995)/((3-1)*$D$4)*S161+(1995+3*$D$4-$A161)/((3-1)*$D$4)*T161</f>
        <v>0</v>
      </c>
      <c r="AG161" s="5">
        <f>($A161-1998)/((3-1)*$D$4)*T161+(1998+3*$D$4-$A161)/((3-1)*$D$4)*U161</f>
        <v>0.055555555555555552</v>
      </c>
      <c r="AH161" s="5">
        <f>($A161-2001)/((3-1)*$D$4)*U161+(2001+3*$D$4-$A161)/((3-1)*$D$4)*V161</f>
        <v>0.72222222222222221</v>
      </c>
      <c r="AI161" s="5">
        <f>($A161-2004)/((3-1)*$D$4)*V161+(2004+3*$D$4-$A161)/((3-1)*$D$4)*W161</f>
        <v>0.22222222222222221</v>
      </c>
      <c r="AJ161" s="5">
        <f>($A161-2007)/((3-1)*$D$4)*W161+(2007+3*$D$4-$A161)/((3-1)*$D$4)*X161</f>
        <v>0</v>
      </c>
      <c r="AK161" s="5">
        <f>($A161-2010)/((3-1)*$D$4)*X161+(2010+3*$D$4-$A161)/((3-1)*$D$4)*Y161</f>
        <v>0</v>
      </c>
      <c r="AL161" s="5">
        <f>($A161-2013)/((3-1)*$D$4)*Y161+(2013+3*$D$4-$A161)/((3-1)*$D$4)*Z161</f>
        <v>0</v>
      </c>
      <c r="AM161" s="5">
        <f>($A161-2016)/((3-1)*$D$4)*Z161+(2016+3*$D$4-$A161)/((3-1)*$D$4)*AA161</f>
        <v>0</v>
      </c>
      <c r="AN161" s="5">
        <f>($A161-2019)/((3-1)*$D$4)*AA161+(2019+3*$D$4-$A161)/((3-1)*$D$4)*AB161</f>
        <v>0</v>
      </c>
      <c r="AO161" s="5">
        <f>($A161-1986)/((4-1)*$D$4)*AC161+(1986+4*$D$4-$A161)/((4-1)*$D$4)*AD161</f>
        <v>0</v>
      </c>
      <c r="AP161" s="5">
        <f>($A161-1989)/((4-1)*$D$4)*AD161+(1989+4*$D$4-$A161)/((4-1)*$D$4)*AE161</f>
        <v>0</v>
      </c>
      <c r="AQ161" s="5">
        <f>($A161-1992)/((4-1)*$D$4)*AE161+(1992+4*$D$4-$A161)/((4-1)*$D$4)*AF161</f>
        <v>0</v>
      </c>
      <c r="AR161" s="5">
        <f>($A161-1995)/((4-1)*$D$4)*AF161+(1995+4*$D$4-$A161)/((4-1)*$D$4)*AG161</f>
        <v>0.0061728395061728392</v>
      </c>
      <c r="AS161" s="5">
        <f>($A161-1998)/((4-1)*$D$4)*AG161+(1998+4*$D$4-$A161)/((4-1)*$D$4)*AH161</f>
        <v>0.37037037037037035</v>
      </c>
      <c r="AT161" s="5">
        <f>($A161-2001)/((4-1)*$D$4)*AH161+(2001+4*$D$4-$A161)/((4-1)*$D$4)*AI161</f>
        <v>0.57407407407407407</v>
      </c>
      <c r="AU161" s="5">
        <f>($A161-2004)/((4-1)*$D$4)*AI161+(2004+4*$D$4-$A161)/((4-1)*$D$4)*AJ161</f>
        <v>0.049382716049382713</v>
      </c>
      <c r="AV161" s="5">
        <f>($A161-2007)/((4-1)*$D$4)*AJ161+(2007+4*$D$4-$A161)/((4-1)*$D$4)*AK161</f>
        <v>0</v>
      </c>
      <c r="AW161" s="5">
        <f>($A161-2010)/((4-1)*$D$4)*AK161+(2010+4*$D$4-$A161)/((4-1)*$D$4)*AL161</f>
        <v>0</v>
      </c>
      <c r="AX161" s="5">
        <f>($A161-2013)/((4-1)*$D$4)*AL161+(2013+4*$D$4-$A161)/((4-1)*$D$4)*AM161</f>
        <v>0</v>
      </c>
      <c r="AY161" s="5">
        <f>($A161-2016)/((4-1)*$D$4)*AM161+(2016+4*$D$4-$A161)/((4-1)*$D$4)*AN161</f>
        <v>0</v>
      </c>
    </row>
    <row r="162">
      <c r="A162" s="3" t="n">
        <v>2007</v>
      </c>
      <c r="B162" s="5">
        <f>IF(AND($A162&gt;=1986,$A162&lt;1989),1,0)</f>
        <v>0</v>
      </c>
      <c r="C162" s="5">
        <f>IF(AND($A162&gt;=1989,$A162&lt;1992),1,0)</f>
        <v>0</v>
      </c>
      <c r="D162" s="5">
        <f>IF(AND($A162&gt;=1992,$A162&lt;1995),1,0)</f>
        <v>0</v>
      </c>
      <c r="E162" s="5">
        <f>IF(AND($A162&gt;=1995,$A162&lt;1998),1,0)</f>
        <v>0</v>
      </c>
      <c r="F162" s="5">
        <f>IF(AND($A162&gt;=1998,$A162&lt;2001),1,0)</f>
        <v>0</v>
      </c>
      <c r="G162" s="5">
        <f>IF(AND($A162&gt;=2001,$A162&lt;2004),1,0)</f>
        <v>0</v>
      </c>
      <c r="H162" s="5">
        <f>IF(AND($A162&gt;=2004,$A162&lt;2007),1,0)</f>
        <v>0</v>
      </c>
      <c r="I162" s="5">
        <f>IF(AND($A162&gt;=2007,$A162&lt;2010),1,0)</f>
        <v>1</v>
      </c>
      <c r="J162" s="5">
        <f>IF(AND($A162&gt;=2010,$A162&lt;2013),1,0)</f>
        <v>0</v>
      </c>
      <c r="K162" s="5">
        <f>IF(AND($A162&gt;=2013,$A162&lt;2016),1,0)</f>
        <v>0</v>
      </c>
      <c r="L162" s="5">
        <f>IF(AND($A162&gt;=2016,$A162&lt;2019),1,0)</f>
        <v>0</v>
      </c>
      <c r="M162" s="5">
        <f>IF(AND($A162&gt;=2019,$A162&lt;2022),1,0)</f>
        <v>0</v>
      </c>
      <c r="N162" s="5">
        <f>IF(AND($A162&gt;=2022,$A162&lt;2025),1,0)</f>
        <v>0</v>
      </c>
      <c r="O162" s="5">
        <f>IF(AND($A162&gt;=2025,$A162&lt;2028),1,0)</f>
        <v>0</v>
      </c>
      <c r="P162" s="5">
        <f>($A162-1986)/((2-1)*$D$4)*B162+(1986+2*$D$4-$A162)/((2-1)*$D$4)*C162</f>
        <v>0</v>
      </c>
      <c r="Q162" s="5">
        <f>($A162-1989)/((2-1)*$D$4)*C162+(1989+2*$D$4-$A162)/((2-1)*$D$4)*D162</f>
        <v>0</v>
      </c>
      <c r="R162" s="5">
        <f>($A162-1992)/((2-1)*$D$4)*D162+(1992+2*$D$4-$A162)/((2-1)*$D$4)*E162</f>
        <v>0</v>
      </c>
      <c r="S162" s="5">
        <f>($A162-1995)/((2-1)*$D$4)*E162+(1995+2*$D$4-$A162)/((2-1)*$D$4)*F162</f>
        <v>0</v>
      </c>
      <c r="T162" s="5">
        <f>($A162-1998)/((2-1)*$D$4)*F162+(1998+2*$D$4-$A162)/((2-1)*$D$4)*G162</f>
        <v>0</v>
      </c>
      <c r="U162" s="5">
        <f>($A162-2001)/((2-1)*$D$4)*G162+(2001+2*$D$4-$A162)/((2-1)*$D$4)*H162</f>
        <v>0</v>
      </c>
      <c r="V162" s="5">
        <f>($A162-2004)/((2-1)*$D$4)*H162+(2004+2*$D$4-$A162)/((2-1)*$D$4)*I162</f>
        <v>1</v>
      </c>
      <c r="W162" s="5">
        <f>($A162-2007)/((2-1)*$D$4)*I162+(2007+2*$D$4-$A162)/((2-1)*$D$4)*J162</f>
        <v>0</v>
      </c>
      <c r="X162" s="5">
        <f>($A162-2010)/((2-1)*$D$4)*J162+(2010+2*$D$4-$A162)/((2-1)*$D$4)*K162</f>
        <v>0</v>
      </c>
      <c r="Y162" s="5">
        <f>($A162-2013)/((2-1)*$D$4)*K162+(2013+2*$D$4-$A162)/((2-1)*$D$4)*L162</f>
        <v>0</v>
      </c>
      <c r="Z162" s="5">
        <f>($A162-2016)/((2-1)*$D$4)*L162+(2016+2*$D$4-$A162)/((2-1)*$D$4)*M162</f>
        <v>0</v>
      </c>
      <c r="AA162" s="5">
        <f>($A162-2019)/((2-1)*$D$4)*M162+(2019+2*$D$4-$A162)/((2-1)*$D$4)*N162</f>
        <v>0</v>
      </c>
      <c r="AB162" s="5">
        <f>($A162-2022)/((2-1)*$D$4)*N162+(2022+2*$D$4-$A162)/((2-1)*$D$4)*O162</f>
        <v>0</v>
      </c>
      <c r="AC162" s="5">
        <f>($A162-1986)/((3-1)*$D$4)*P162+(1986+3*$D$4-$A162)/((3-1)*$D$4)*Q162</f>
        <v>0</v>
      </c>
      <c r="AD162" s="5">
        <f>($A162-1989)/((3-1)*$D$4)*Q162+(1989+3*$D$4-$A162)/((3-1)*$D$4)*R162</f>
        <v>0</v>
      </c>
      <c r="AE162" s="5">
        <f>($A162-1992)/((3-1)*$D$4)*R162+(1992+3*$D$4-$A162)/((3-1)*$D$4)*S162</f>
        <v>0</v>
      </c>
      <c r="AF162" s="5">
        <f>($A162-1995)/((3-1)*$D$4)*S162+(1995+3*$D$4-$A162)/((3-1)*$D$4)*T162</f>
        <v>0</v>
      </c>
      <c r="AG162" s="5">
        <f>($A162-1998)/((3-1)*$D$4)*T162+(1998+3*$D$4-$A162)/((3-1)*$D$4)*U162</f>
        <v>0</v>
      </c>
      <c r="AH162" s="5">
        <f>($A162-2001)/((3-1)*$D$4)*U162+(2001+3*$D$4-$A162)/((3-1)*$D$4)*V162</f>
        <v>0.5</v>
      </c>
      <c r="AI162" s="5">
        <f>($A162-2004)/((3-1)*$D$4)*V162+(2004+3*$D$4-$A162)/((3-1)*$D$4)*W162</f>
        <v>0.5</v>
      </c>
      <c r="AJ162" s="5">
        <f>($A162-2007)/((3-1)*$D$4)*W162+(2007+3*$D$4-$A162)/((3-1)*$D$4)*X162</f>
        <v>0</v>
      </c>
      <c r="AK162" s="5">
        <f>($A162-2010)/((3-1)*$D$4)*X162+(2010+3*$D$4-$A162)/((3-1)*$D$4)*Y162</f>
        <v>0</v>
      </c>
      <c r="AL162" s="5">
        <f>($A162-2013)/((3-1)*$D$4)*Y162+(2013+3*$D$4-$A162)/((3-1)*$D$4)*Z162</f>
        <v>0</v>
      </c>
      <c r="AM162" s="5">
        <f>($A162-2016)/((3-1)*$D$4)*Z162+(2016+3*$D$4-$A162)/((3-1)*$D$4)*AA162</f>
        <v>0</v>
      </c>
      <c r="AN162" s="5">
        <f>($A162-2019)/((3-1)*$D$4)*AA162+(2019+3*$D$4-$A162)/((3-1)*$D$4)*AB162</f>
        <v>0</v>
      </c>
      <c r="AO162" s="5">
        <f>($A162-1986)/((4-1)*$D$4)*AC162+(1986+4*$D$4-$A162)/((4-1)*$D$4)*AD162</f>
        <v>0</v>
      </c>
      <c r="AP162" s="5">
        <f>($A162-1989)/((4-1)*$D$4)*AD162+(1989+4*$D$4-$A162)/((4-1)*$D$4)*AE162</f>
        <v>0</v>
      </c>
      <c r="AQ162" s="5">
        <f>($A162-1992)/((4-1)*$D$4)*AE162+(1992+4*$D$4-$A162)/((4-1)*$D$4)*AF162</f>
        <v>0</v>
      </c>
      <c r="AR162" s="5">
        <f>($A162-1995)/((4-1)*$D$4)*AF162+(1995+4*$D$4-$A162)/((4-1)*$D$4)*AG162</f>
        <v>0</v>
      </c>
      <c r="AS162" s="5">
        <f>($A162-1998)/((4-1)*$D$4)*AG162+(1998+4*$D$4-$A162)/((4-1)*$D$4)*AH162</f>
        <v>0.16666666666666666</v>
      </c>
      <c r="AT162" s="5">
        <f>($A162-2001)/((4-1)*$D$4)*AH162+(2001+4*$D$4-$A162)/((4-1)*$D$4)*AI162</f>
        <v>0.66666666666666663</v>
      </c>
      <c r="AU162" s="5">
        <f>($A162-2004)/((4-1)*$D$4)*AI162+(2004+4*$D$4-$A162)/((4-1)*$D$4)*AJ162</f>
        <v>0.16666666666666666</v>
      </c>
      <c r="AV162" s="5">
        <f>($A162-2007)/((4-1)*$D$4)*AJ162+(2007+4*$D$4-$A162)/((4-1)*$D$4)*AK162</f>
        <v>0</v>
      </c>
      <c r="AW162" s="5">
        <f>($A162-2010)/((4-1)*$D$4)*AK162+(2010+4*$D$4-$A162)/((4-1)*$D$4)*AL162</f>
        <v>0</v>
      </c>
      <c r="AX162" s="5">
        <f>($A162-2013)/((4-1)*$D$4)*AL162+(2013+4*$D$4-$A162)/((4-1)*$D$4)*AM162</f>
        <v>0</v>
      </c>
      <c r="AY162" s="5">
        <f>($A162-2016)/((4-1)*$D$4)*AM162+(2016+4*$D$4-$A162)/((4-1)*$D$4)*AN162</f>
        <v>0</v>
      </c>
    </row>
    <row r="163">
      <c r="A163" s="3" t="n">
        <v>2008</v>
      </c>
      <c r="B163" s="5">
        <f>IF(AND($A163&gt;=1986,$A163&lt;1989),1,0)</f>
        <v>0</v>
      </c>
      <c r="C163" s="5">
        <f>IF(AND($A163&gt;=1989,$A163&lt;1992),1,0)</f>
        <v>0</v>
      </c>
      <c r="D163" s="5">
        <f>IF(AND($A163&gt;=1992,$A163&lt;1995),1,0)</f>
        <v>0</v>
      </c>
      <c r="E163" s="5">
        <f>IF(AND($A163&gt;=1995,$A163&lt;1998),1,0)</f>
        <v>0</v>
      </c>
      <c r="F163" s="5">
        <f>IF(AND($A163&gt;=1998,$A163&lt;2001),1,0)</f>
        <v>0</v>
      </c>
      <c r="G163" s="5">
        <f>IF(AND($A163&gt;=2001,$A163&lt;2004),1,0)</f>
        <v>0</v>
      </c>
      <c r="H163" s="5">
        <f>IF(AND($A163&gt;=2004,$A163&lt;2007),1,0)</f>
        <v>0</v>
      </c>
      <c r="I163" s="5">
        <f>IF(AND($A163&gt;=2007,$A163&lt;2010),1,0)</f>
        <v>1</v>
      </c>
      <c r="J163" s="5">
        <f>IF(AND($A163&gt;=2010,$A163&lt;2013),1,0)</f>
        <v>0</v>
      </c>
      <c r="K163" s="5">
        <f>IF(AND($A163&gt;=2013,$A163&lt;2016),1,0)</f>
        <v>0</v>
      </c>
      <c r="L163" s="5">
        <f>IF(AND($A163&gt;=2016,$A163&lt;2019),1,0)</f>
        <v>0</v>
      </c>
      <c r="M163" s="5">
        <f>IF(AND($A163&gt;=2019,$A163&lt;2022),1,0)</f>
        <v>0</v>
      </c>
      <c r="N163" s="5">
        <f>IF(AND($A163&gt;=2022,$A163&lt;2025),1,0)</f>
        <v>0</v>
      </c>
      <c r="O163" s="5">
        <f>IF(AND($A163&gt;=2025,$A163&lt;2028),1,0)</f>
        <v>0</v>
      </c>
      <c r="P163" s="5">
        <f>($A163-1986)/((2-1)*$D$4)*B163+(1986+2*$D$4-$A163)/((2-1)*$D$4)*C163</f>
        <v>0</v>
      </c>
      <c r="Q163" s="5">
        <f>($A163-1989)/((2-1)*$D$4)*C163+(1989+2*$D$4-$A163)/((2-1)*$D$4)*D163</f>
        <v>0</v>
      </c>
      <c r="R163" s="5">
        <f>($A163-1992)/((2-1)*$D$4)*D163+(1992+2*$D$4-$A163)/((2-1)*$D$4)*E163</f>
        <v>0</v>
      </c>
      <c r="S163" s="5">
        <f>($A163-1995)/((2-1)*$D$4)*E163+(1995+2*$D$4-$A163)/((2-1)*$D$4)*F163</f>
        <v>0</v>
      </c>
      <c r="T163" s="5">
        <f>($A163-1998)/((2-1)*$D$4)*F163+(1998+2*$D$4-$A163)/((2-1)*$D$4)*G163</f>
        <v>0</v>
      </c>
      <c r="U163" s="5">
        <f>($A163-2001)/((2-1)*$D$4)*G163+(2001+2*$D$4-$A163)/((2-1)*$D$4)*H163</f>
        <v>0</v>
      </c>
      <c r="V163" s="5">
        <f>($A163-2004)/((2-1)*$D$4)*H163+(2004+2*$D$4-$A163)/((2-1)*$D$4)*I163</f>
        <v>0.66666666666666663</v>
      </c>
      <c r="W163" s="5">
        <f>($A163-2007)/((2-1)*$D$4)*I163+(2007+2*$D$4-$A163)/((2-1)*$D$4)*J163</f>
        <v>0.33333333333333331</v>
      </c>
      <c r="X163" s="5">
        <f>($A163-2010)/((2-1)*$D$4)*J163+(2010+2*$D$4-$A163)/((2-1)*$D$4)*K163</f>
        <v>0</v>
      </c>
      <c r="Y163" s="5">
        <f>($A163-2013)/((2-1)*$D$4)*K163+(2013+2*$D$4-$A163)/((2-1)*$D$4)*L163</f>
        <v>0</v>
      </c>
      <c r="Z163" s="5">
        <f>($A163-2016)/((2-1)*$D$4)*L163+(2016+2*$D$4-$A163)/((2-1)*$D$4)*M163</f>
        <v>0</v>
      </c>
      <c r="AA163" s="5">
        <f>($A163-2019)/((2-1)*$D$4)*M163+(2019+2*$D$4-$A163)/((2-1)*$D$4)*N163</f>
        <v>0</v>
      </c>
      <c r="AB163" s="5">
        <f>($A163-2022)/((2-1)*$D$4)*N163+(2022+2*$D$4-$A163)/((2-1)*$D$4)*O163</f>
        <v>0</v>
      </c>
      <c r="AC163" s="5">
        <f>($A163-1986)/((3-1)*$D$4)*P163+(1986+3*$D$4-$A163)/((3-1)*$D$4)*Q163</f>
        <v>0</v>
      </c>
      <c r="AD163" s="5">
        <f>($A163-1989)/((3-1)*$D$4)*Q163+(1989+3*$D$4-$A163)/((3-1)*$D$4)*R163</f>
        <v>0</v>
      </c>
      <c r="AE163" s="5">
        <f>($A163-1992)/((3-1)*$D$4)*R163+(1992+3*$D$4-$A163)/((3-1)*$D$4)*S163</f>
        <v>0</v>
      </c>
      <c r="AF163" s="5">
        <f>($A163-1995)/((3-1)*$D$4)*S163+(1995+3*$D$4-$A163)/((3-1)*$D$4)*T163</f>
        <v>0</v>
      </c>
      <c r="AG163" s="5">
        <f>($A163-1998)/((3-1)*$D$4)*T163+(1998+3*$D$4-$A163)/((3-1)*$D$4)*U163</f>
        <v>0</v>
      </c>
      <c r="AH163" s="5">
        <f>($A163-2001)/((3-1)*$D$4)*U163+(2001+3*$D$4-$A163)/((3-1)*$D$4)*V163</f>
        <v>0.22222222222222221</v>
      </c>
      <c r="AI163" s="5">
        <f>($A163-2004)/((3-1)*$D$4)*V163+(2004+3*$D$4-$A163)/((3-1)*$D$4)*W163</f>
        <v>0.72222222222222221</v>
      </c>
      <c r="AJ163" s="5">
        <f>($A163-2007)/((3-1)*$D$4)*W163+(2007+3*$D$4-$A163)/((3-1)*$D$4)*X163</f>
        <v>0.055555555555555552</v>
      </c>
      <c r="AK163" s="5">
        <f>($A163-2010)/((3-1)*$D$4)*X163+(2010+3*$D$4-$A163)/((3-1)*$D$4)*Y163</f>
        <v>0</v>
      </c>
      <c r="AL163" s="5">
        <f>($A163-2013)/((3-1)*$D$4)*Y163+(2013+3*$D$4-$A163)/((3-1)*$D$4)*Z163</f>
        <v>0</v>
      </c>
      <c r="AM163" s="5">
        <f>($A163-2016)/((3-1)*$D$4)*Z163+(2016+3*$D$4-$A163)/((3-1)*$D$4)*AA163</f>
        <v>0</v>
      </c>
      <c r="AN163" s="5">
        <f>($A163-2019)/((3-1)*$D$4)*AA163+(2019+3*$D$4-$A163)/((3-1)*$D$4)*AB163</f>
        <v>0</v>
      </c>
      <c r="AO163" s="5">
        <f>($A163-1986)/((4-1)*$D$4)*AC163+(1986+4*$D$4-$A163)/((4-1)*$D$4)*AD163</f>
        <v>0</v>
      </c>
      <c r="AP163" s="5">
        <f>($A163-1989)/((4-1)*$D$4)*AD163+(1989+4*$D$4-$A163)/((4-1)*$D$4)*AE163</f>
        <v>0</v>
      </c>
      <c r="AQ163" s="5">
        <f>($A163-1992)/((4-1)*$D$4)*AE163+(1992+4*$D$4-$A163)/((4-1)*$D$4)*AF163</f>
        <v>0</v>
      </c>
      <c r="AR163" s="5">
        <f>($A163-1995)/((4-1)*$D$4)*AF163+(1995+4*$D$4-$A163)/((4-1)*$D$4)*AG163</f>
        <v>0</v>
      </c>
      <c r="AS163" s="5">
        <f>($A163-1998)/((4-1)*$D$4)*AG163+(1998+4*$D$4-$A163)/((4-1)*$D$4)*AH163</f>
        <v>0.049382716049382713</v>
      </c>
      <c r="AT163" s="5">
        <f>($A163-2001)/((4-1)*$D$4)*AH163+(2001+4*$D$4-$A163)/((4-1)*$D$4)*AI163</f>
        <v>0.57407407407407407</v>
      </c>
      <c r="AU163" s="5">
        <f>($A163-2004)/((4-1)*$D$4)*AI163+(2004+4*$D$4-$A163)/((4-1)*$D$4)*AJ163</f>
        <v>0.37037037037037035</v>
      </c>
      <c r="AV163" s="5">
        <f>($A163-2007)/((4-1)*$D$4)*AJ163+(2007+4*$D$4-$A163)/((4-1)*$D$4)*AK163</f>
        <v>0.0061728395061728392</v>
      </c>
      <c r="AW163" s="5">
        <f>($A163-2010)/((4-1)*$D$4)*AK163+(2010+4*$D$4-$A163)/((4-1)*$D$4)*AL163</f>
        <v>0</v>
      </c>
      <c r="AX163" s="5">
        <f>($A163-2013)/((4-1)*$D$4)*AL163+(2013+4*$D$4-$A163)/((4-1)*$D$4)*AM163</f>
        <v>0</v>
      </c>
      <c r="AY163" s="5">
        <f>($A163-2016)/((4-1)*$D$4)*AM163+(2016+4*$D$4-$A163)/((4-1)*$D$4)*AN163</f>
        <v>0</v>
      </c>
    </row>
    <row r="164">
      <c r="A164" s="3" t="n">
        <v>2009</v>
      </c>
      <c r="B164" s="5">
        <f>IF(AND($A164&gt;=1986,$A164&lt;1989),1,0)</f>
        <v>0</v>
      </c>
      <c r="C164" s="5">
        <f>IF(AND($A164&gt;=1989,$A164&lt;1992),1,0)</f>
        <v>0</v>
      </c>
      <c r="D164" s="5">
        <f>IF(AND($A164&gt;=1992,$A164&lt;1995),1,0)</f>
        <v>0</v>
      </c>
      <c r="E164" s="5">
        <f>IF(AND($A164&gt;=1995,$A164&lt;1998),1,0)</f>
        <v>0</v>
      </c>
      <c r="F164" s="5">
        <f>IF(AND($A164&gt;=1998,$A164&lt;2001),1,0)</f>
        <v>0</v>
      </c>
      <c r="G164" s="5">
        <f>IF(AND($A164&gt;=2001,$A164&lt;2004),1,0)</f>
        <v>0</v>
      </c>
      <c r="H164" s="5">
        <f>IF(AND($A164&gt;=2004,$A164&lt;2007),1,0)</f>
        <v>0</v>
      </c>
      <c r="I164" s="5">
        <f>IF(AND($A164&gt;=2007,$A164&lt;2010),1,0)</f>
        <v>1</v>
      </c>
      <c r="J164" s="5">
        <f>IF(AND($A164&gt;=2010,$A164&lt;2013),1,0)</f>
        <v>0</v>
      </c>
      <c r="K164" s="5">
        <f>IF(AND($A164&gt;=2013,$A164&lt;2016),1,0)</f>
        <v>0</v>
      </c>
      <c r="L164" s="5">
        <f>IF(AND($A164&gt;=2016,$A164&lt;2019),1,0)</f>
        <v>0</v>
      </c>
      <c r="M164" s="5">
        <f>IF(AND($A164&gt;=2019,$A164&lt;2022),1,0)</f>
        <v>0</v>
      </c>
      <c r="N164" s="5">
        <f>IF(AND($A164&gt;=2022,$A164&lt;2025),1,0)</f>
        <v>0</v>
      </c>
      <c r="O164" s="5">
        <f>IF(AND($A164&gt;=2025,$A164&lt;2028),1,0)</f>
        <v>0</v>
      </c>
      <c r="P164" s="5">
        <f>($A164-1986)/((2-1)*$D$4)*B164+(1986+2*$D$4-$A164)/((2-1)*$D$4)*C164</f>
        <v>0</v>
      </c>
      <c r="Q164" s="5">
        <f>($A164-1989)/((2-1)*$D$4)*C164+(1989+2*$D$4-$A164)/((2-1)*$D$4)*D164</f>
        <v>0</v>
      </c>
      <c r="R164" s="5">
        <f>($A164-1992)/((2-1)*$D$4)*D164+(1992+2*$D$4-$A164)/((2-1)*$D$4)*E164</f>
        <v>0</v>
      </c>
      <c r="S164" s="5">
        <f>($A164-1995)/((2-1)*$D$4)*E164+(1995+2*$D$4-$A164)/((2-1)*$D$4)*F164</f>
        <v>0</v>
      </c>
      <c r="T164" s="5">
        <f>($A164-1998)/((2-1)*$D$4)*F164+(1998+2*$D$4-$A164)/((2-1)*$D$4)*G164</f>
        <v>0</v>
      </c>
      <c r="U164" s="5">
        <f>($A164-2001)/((2-1)*$D$4)*G164+(2001+2*$D$4-$A164)/((2-1)*$D$4)*H164</f>
        <v>0</v>
      </c>
      <c r="V164" s="5">
        <f>($A164-2004)/((2-1)*$D$4)*H164+(2004+2*$D$4-$A164)/((2-1)*$D$4)*I164</f>
        <v>0.33333333333333331</v>
      </c>
      <c r="W164" s="5">
        <f>($A164-2007)/((2-1)*$D$4)*I164+(2007+2*$D$4-$A164)/((2-1)*$D$4)*J164</f>
        <v>0.66666666666666663</v>
      </c>
      <c r="X164" s="5">
        <f>($A164-2010)/((2-1)*$D$4)*J164+(2010+2*$D$4-$A164)/((2-1)*$D$4)*K164</f>
        <v>0</v>
      </c>
      <c r="Y164" s="5">
        <f>($A164-2013)/((2-1)*$D$4)*K164+(2013+2*$D$4-$A164)/((2-1)*$D$4)*L164</f>
        <v>0</v>
      </c>
      <c r="Z164" s="5">
        <f>($A164-2016)/((2-1)*$D$4)*L164+(2016+2*$D$4-$A164)/((2-1)*$D$4)*M164</f>
        <v>0</v>
      </c>
      <c r="AA164" s="5">
        <f>($A164-2019)/((2-1)*$D$4)*M164+(2019+2*$D$4-$A164)/((2-1)*$D$4)*N164</f>
        <v>0</v>
      </c>
      <c r="AB164" s="5">
        <f>($A164-2022)/((2-1)*$D$4)*N164+(2022+2*$D$4-$A164)/((2-1)*$D$4)*O164</f>
        <v>0</v>
      </c>
      <c r="AC164" s="5">
        <f>($A164-1986)/((3-1)*$D$4)*P164+(1986+3*$D$4-$A164)/((3-1)*$D$4)*Q164</f>
        <v>0</v>
      </c>
      <c r="AD164" s="5">
        <f>($A164-1989)/((3-1)*$D$4)*Q164+(1989+3*$D$4-$A164)/((3-1)*$D$4)*R164</f>
        <v>0</v>
      </c>
      <c r="AE164" s="5">
        <f>($A164-1992)/((3-1)*$D$4)*R164+(1992+3*$D$4-$A164)/((3-1)*$D$4)*S164</f>
        <v>0</v>
      </c>
      <c r="AF164" s="5">
        <f>($A164-1995)/((3-1)*$D$4)*S164+(1995+3*$D$4-$A164)/((3-1)*$D$4)*T164</f>
        <v>0</v>
      </c>
      <c r="AG164" s="5">
        <f>($A164-1998)/((3-1)*$D$4)*T164+(1998+3*$D$4-$A164)/((3-1)*$D$4)*U164</f>
        <v>0</v>
      </c>
      <c r="AH164" s="5">
        <f>($A164-2001)/((3-1)*$D$4)*U164+(2001+3*$D$4-$A164)/((3-1)*$D$4)*V164</f>
        <v>0.055555555555555552</v>
      </c>
      <c r="AI164" s="5">
        <f>($A164-2004)/((3-1)*$D$4)*V164+(2004+3*$D$4-$A164)/((3-1)*$D$4)*W164</f>
        <v>0.72222222222222221</v>
      </c>
      <c r="AJ164" s="5">
        <f>($A164-2007)/((3-1)*$D$4)*W164+(2007+3*$D$4-$A164)/((3-1)*$D$4)*X164</f>
        <v>0.22222222222222221</v>
      </c>
      <c r="AK164" s="5">
        <f>($A164-2010)/((3-1)*$D$4)*X164+(2010+3*$D$4-$A164)/((3-1)*$D$4)*Y164</f>
        <v>0</v>
      </c>
      <c r="AL164" s="5">
        <f>($A164-2013)/((3-1)*$D$4)*Y164+(2013+3*$D$4-$A164)/((3-1)*$D$4)*Z164</f>
        <v>0</v>
      </c>
      <c r="AM164" s="5">
        <f>($A164-2016)/((3-1)*$D$4)*Z164+(2016+3*$D$4-$A164)/((3-1)*$D$4)*AA164</f>
        <v>0</v>
      </c>
      <c r="AN164" s="5">
        <f>($A164-2019)/((3-1)*$D$4)*AA164+(2019+3*$D$4-$A164)/((3-1)*$D$4)*AB164</f>
        <v>0</v>
      </c>
      <c r="AO164" s="5">
        <f>($A164-1986)/((4-1)*$D$4)*AC164+(1986+4*$D$4-$A164)/((4-1)*$D$4)*AD164</f>
        <v>0</v>
      </c>
      <c r="AP164" s="5">
        <f>($A164-1989)/((4-1)*$D$4)*AD164+(1989+4*$D$4-$A164)/((4-1)*$D$4)*AE164</f>
        <v>0</v>
      </c>
      <c r="AQ164" s="5">
        <f>($A164-1992)/((4-1)*$D$4)*AE164+(1992+4*$D$4-$A164)/((4-1)*$D$4)*AF164</f>
        <v>0</v>
      </c>
      <c r="AR164" s="5">
        <f>($A164-1995)/((4-1)*$D$4)*AF164+(1995+4*$D$4-$A164)/((4-1)*$D$4)*AG164</f>
        <v>0</v>
      </c>
      <c r="AS164" s="5">
        <f>($A164-1998)/((4-1)*$D$4)*AG164+(1998+4*$D$4-$A164)/((4-1)*$D$4)*AH164</f>
        <v>0.0061728395061728392</v>
      </c>
      <c r="AT164" s="5">
        <f>($A164-2001)/((4-1)*$D$4)*AH164+(2001+4*$D$4-$A164)/((4-1)*$D$4)*AI164</f>
        <v>0.37037037037037035</v>
      </c>
      <c r="AU164" s="5">
        <f>($A164-2004)/((4-1)*$D$4)*AI164+(2004+4*$D$4-$A164)/((4-1)*$D$4)*AJ164</f>
        <v>0.57407407407407407</v>
      </c>
      <c r="AV164" s="5">
        <f>($A164-2007)/((4-1)*$D$4)*AJ164+(2007+4*$D$4-$A164)/((4-1)*$D$4)*AK164</f>
        <v>0.049382716049382713</v>
      </c>
      <c r="AW164" s="5">
        <f>($A164-2010)/((4-1)*$D$4)*AK164+(2010+4*$D$4-$A164)/((4-1)*$D$4)*AL164</f>
        <v>0</v>
      </c>
      <c r="AX164" s="5">
        <f>($A164-2013)/((4-1)*$D$4)*AL164+(2013+4*$D$4-$A164)/((4-1)*$D$4)*AM164</f>
        <v>0</v>
      </c>
      <c r="AY164" s="5">
        <f>($A164-2016)/((4-1)*$D$4)*AM164+(2016+4*$D$4-$A164)/((4-1)*$D$4)*AN164</f>
        <v>0</v>
      </c>
    </row>
    <row r="165">
      <c r="A165" s="3" t="n">
        <v>2010</v>
      </c>
      <c r="B165" s="5">
        <f>IF(AND($A165&gt;=1986,$A165&lt;1989),1,0)</f>
        <v>0</v>
      </c>
      <c r="C165" s="5">
        <f>IF(AND($A165&gt;=1989,$A165&lt;1992),1,0)</f>
        <v>0</v>
      </c>
      <c r="D165" s="5">
        <f>IF(AND($A165&gt;=1992,$A165&lt;1995),1,0)</f>
        <v>0</v>
      </c>
      <c r="E165" s="5">
        <f>IF(AND($A165&gt;=1995,$A165&lt;1998),1,0)</f>
        <v>0</v>
      </c>
      <c r="F165" s="5">
        <f>IF(AND($A165&gt;=1998,$A165&lt;2001),1,0)</f>
        <v>0</v>
      </c>
      <c r="G165" s="5">
        <f>IF(AND($A165&gt;=2001,$A165&lt;2004),1,0)</f>
        <v>0</v>
      </c>
      <c r="H165" s="5">
        <f>IF(AND($A165&gt;=2004,$A165&lt;2007),1,0)</f>
        <v>0</v>
      </c>
      <c r="I165" s="5">
        <f>IF(AND($A165&gt;=2007,$A165&lt;2010),1,0)</f>
        <v>0</v>
      </c>
      <c r="J165" s="5">
        <f>IF(AND($A165&gt;=2010,$A165&lt;2013),1,0)</f>
        <v>1</v>
      </c>
      <c r="K165" s="5">
        <f>IF(AND($A165&gt;=2013,$A165&lt;2016),1,0)</f>
        <v>0</v>
      </c>
      <c r="L165" s="5">
        <f>IF(AND($A165&gt;=2016,$A165&lt;2019),1,0)</f>
        <v>0</v>
      </c>
      <c r="M165" s="5">
        <f>IF(AND($A165&gt;=2019,$A165&lt;2022),1,0)</f>
        <v>0</v>
      </c>
      <c r="N165" s="5">
        <f>IF(AND($A165&gt;=2022,$A165&lt;2025),1,0)</f>
        <v>0</v>
      </c>
      <c r="O165" s="5">
        <f>IF(AND($A165&gt;=2025,$A165&lt;2028),1,0)</f>
        <v>0</v>
      </c>
      <c r="P165" s="5">
        <f>($A165-1986)/((2-1)*$D$4)*B165+(1986+2*$D$4-$A165)/((2-1)*$D$4)*C165</f>
        <v>0</v>
      </c>
      <c r="Q165" s="5">
        <f>($A165-1989)/((2-1)*$D$4)*C165+(1989+2*$D$4-$A165)/((2-1)*$D$4)*D165</f>
        <v>0</v>
      </c>
      <c r="R165" s="5">
        <f>($A165-1992)/((2-1)*$D$4)*D165+(1992+2*$D$4-$A165)/((2-1)*$D$4)*E165</f>
        <v>0</v>
      </c>
      <c r="S165" s="5">
        <f>($A165-1995)/((2-1)*$D$4)*E165+(1995+2*$D$4-$A165)/((2-1)*$D$4)*F165</f>
        <v>0</v>
      </c>
      <c r="T165" s="5">
        <f>($A165-1998)/((2-1)*$D$4)*F165+(1998+2*$D$4-$A165)/((2-1)*$D$4)*G165</f>
        <v>0</v>
      </c>
      <c r="U165" s="5">
        <f>($A165-2001)/((2-1)*$D$4)*G165+(2001+2*$D$4-$A165)/((2-1)*$D$4)*H165</f>
        <v>0</v>
      </c>
      <c r="V165" s="5">
        <f>($A165-2004)/((2-1)*$D$4)*H165+(2004+2*$D$4-$A165)/((2-1)*$D$4)*I165</f>
        <v>0</v>
      </c>
      <c r="W165" s="5">
        <f>($A165-2007)/((2-1)*$D$4)*I165+(2007+2*$D$4-$A165)/((2-1)*$D$4)*J165</f>
        <v>1</v>
      </c>
      <c r="X165" s="5">
        <f>($A165-2010)/((2-1)*$D$4)*J165+(2010+2*$D$4-$A165)/((2-1)*$D$4)*K165</f>
        <v>0</v>
      </c>
      <c r="Y165" s="5">
        <f>($A165-2013)/((2-1)*$D$4)*K165+(2013+2*$D$4-$A165)/((2-1)*$D$4)*L165</f>
        <v>0</v>
      </c>
      <c r="Z165" s="5">
        <f>($A165-2016)/((2-1)*$D$4)*L165+(2016+2*$D$4-$A165)/((2-1)*$D$4)*M165</f>
        <v>0</v>
      </c>
      <c r="AA165" s="5">
        <f>($A165-2019)/((2-1)*$D$4)*M165+(2019+2*$D$4-$A165)/((2-1)*$D$4)*N165</f>
        <v>0</v>
      </c>
      <c r="AB165" s="5">
        <f>($A165-2022)/((2-1)*$D$4)*N165+(2022+2*$D$4-$A165)/((2-1)*$D$4)*O165</f>
        <v>0</v>
      </c>
      <c r="AC165" s="5">
        <f>($A165-1986)/((3-1)*$D$4)*P165+(1986+3*$D$4-$A165)/((3-1)*$D$4)*Q165</f>
        <v>0</v>
      </c>
      <c r="AD165" s="5">
        <f>($A165-1989)/((3-1)*$D$4)*Q165+(1989+3*$D$4-$A165)/((3-1)*$D$4)*R165</f>
        <v>0</v>
      </c>
      <c r="AE165" s="5">
        <f>($A165-1992)/((3-1)*$D$4)*R165+(1992+3*$D$4-$A165)/((3-1)*$D$4)*S165</f>
        <v>0</v>
      </c>
      <c r="AF165" s="5">
        <f>($A165-1995)/((3-1)*$D$4)*S165+(1995+3*$D$4-$A165)/((3-1)*$D$4)*T165</f>
        <v>0</v>
      </c>
      <c r="AG165" s="5">
        <f>($A165-1998)/((3-1)*$D$4)*T165+(1998+3*$D$4-$A165)/((3-1)*$D$4)*U165</f>
        <v>0</v>
      </c>
      <c r="AH165" s="5">
        <f>($A165-2001)/((3-1)*$D$4)*U165+(2001+3*$D$4-$A165)/((3-1)*$D$4)*V165</f>
        <v>0</v>
      </c>
      <c r="AI165" s="5">
        <f>($A165-2004)/((3-1)*$D$4)*V165+(2004+3*$D$4-$A165)/((3-1)*$D$4)*W165</f>
        <v>0.5</v>
      </c>
      <c r="AJ165" s="5">
        <f>($A165-2007)/((3-1)*$D$4)*W165+(2007+3*$D$4-$A165)/((3-1)*$D$4)*X165</f>
        <v>0.5</v>
      </c>
      <c r="AK165" s="5">
        <f>($A165-2010)/((3-1)*$D$4)*X165+(2010+3*$D$4-$A165)/((3-1)*$D$4)*Y165</f>
        <v>0</v>
      </c>
      <c r="AL165" s="5">
        <f>($A165-2013)/((3-1)*$D$4)*Y165+(2013+3*$D$4-$A165)/((3-1)*$D$4)*Z165</f>
        <v>0</v>
      </c>
      <c r="AM165" s="5">
        <f>($A165-2016)/((3-1)*$D$4)*Z165+(2016+3*$D$4-$A165)/((3-1)*$D$4)*AA165</f>
        <v>0</v>
      </c>
      <c r="AN165" s="5">
        <f>($A165-2019)/((3-1)*$D$4)*AA165+(2019+3*$D$4-$A165)/((3-1)*$D$4)*AB165</f>
        <v>0</v>
      </c>
      <c r="AO165" s="5">
        <f>($A165-1986)/((4-1)*$D$4)*AC165+(1986+4*$D$4-$A165)/((4-1)*$D$4)*AD165</f>
        <v>0</v>
      </c>
      <c r="AP165" s="5">
        <f>($A165-1989)/((4-1)*$D$4)*AD165+(1989+4*$D$4-$A165)/((4-1)*$D$4)*AE165</f>
        <v>0</v>
      </c>
      <c r="AQ165" s="5">
        <f>($A165-1992)/((4-1)*$D$4)*AE165+(1992+4*$D$4-$A165)/((4-1)*$D$4)*AF165</f>
        <v>0</v>
      </c>
      <c r="AR165" s="5">
        <f>($A165-1995)/((4-1)*$D$4)*AF165+(1995+4*$D$4-$A165)/((4-1)*$D$4)*AG165</f>
        <v>0</v>
      </c>
      <c r="AS165" s="5">
        <f>($A165-1998)/((4-1)*$D$4)*AG165+(1998+4*$D$4-$A165)/((4-1)*$D$4)*AH165</f>
        <v>0</v>
      </c>
      <c r="AT165" s="5">
        <f>($A165-2001)/((4-1)*$D$4)*AH165+(2001+4*$D$4-$A165)/((4-1)*$D$4)*AI165</f>
        <v>0.16666666666666666</v>
      </c>
      <c r="AU165" s="5">
        <f>($A165-2004)/((4-1)*$D$4)*AI165+(2004+4*$D$4-$A165)/((4-1)*$D$4)*AJ165</f>
        <v>0.66666666666666663</v>
      </c>
      <c r="AV165" s="5">
        <f>($A165-2007)/((4-1)*$D$4)*AJ165+(2007+4*$D$4-$A165)/((4-1)*$D$4)*AK165</f>
        <v>0.16666666666666666</v>
      </c>
      <c r="AW165" s="5">
        <f>($A165-2010)/((4-1)*$D$4)*AK165+(2010+4*$D$4-$A165)/((4-1)*$D$4)*AL165</f>
        <v>0</v>
      </c>
      <c r="AX165" s="5">
        <f>($A165-2013)/((4-1)*$D$4)*AL165+(2013+4*$D$4-$A165)/((4-1)*$D$4)*AM165</f>
        <v>0</v>
      </c>
      <c r="AY165" s="5">
        <f>($A165-2016)/((4-1)*$D$4)*AM165+(2016+4*$D$4-$A165)/((4-1)*$D$4)*AN165</f>
        <v>0</v>
      </c>
    </row>
    <row r="166">
      <c r="A166" s="3" t="n">
        <v>2011</v>
      </c>
      <c r="B166" s="5">
        <f>IF(AND($A166&gt;=1986,$A166&lt;1989),1,0)</f>
        <v>0</v>
      </c>
      <c r="C166" s="5">
        <f>IF(AND($A166&gt;=1989,$A166&lt;1992),1,0)</f>
        <v>0</v>
      </c>
      <c r="D166" s="5">
        <f>IF(AND($A166&gt;=1992,$A166&lt;1995),1,0)</f>
        <v>0</v>
      </c>
      <c r="E166" s="5">
        <f>IF(AND($A166&gt;=1995,$A166&lt;1998),1,0)</f>
        <v>0</v>
      </c>
      <c r="F166" s="5">
        <f>IF(AND($A166&gt;=1998,$A166&lt;2001),1,0)</f>
        <v>0</v>
      </c>
      <c r="G166" s="5">
        <f>IF(AND($A166&gt;=2001,$A166&lt;2004),1,0)</f>
        <v>0</v>
      </c>
      <c r="H166" s="5">
        <f>IF(AND($A166&gt;=2004,$A166&lt;2007),1,0)</f>
        <v>0</v>
      </c>
      <c r="I166" s="5">
        <f>IF(AND($A166&gt;=2007,$A166&lt;2010),1,0)</f>
        <v>0</v>
      </c>
      <c r="J166" s="5">
        <f>IF(AND($A166&gt;=2010,$A166&lt;2013),1,0)</f>
        <v>1</v>
      </c>
      <c r="K166" s="5">
        <f>IF(AND($A166&gt;=2013,$A166&lt;2016),1,0)</f>
        <v>0</v>
      </c>
      <c r="L166" s="5">
        <f>IF(AND($A166&gt;=2016,$A166&lt;2019),1,0)</f>
        <v>0</v>
      </c>
      <c r="M166" s="5">
        <f>IF(AND($A166&gt;=2019,$A166&lt;2022),1,0)</f>
        <v>0</v>
      </c>
      <c r="N166" s="5">
        <f>IF(AND($A166&gt;=2022,$A166&lt;2025),1,0)</f>
        <v>0</v>
      </c>
      <c r="O166" s="5">
        <f>IF(AND($A166&gt;=2025,$A166&lt;2028),1,0)</f>
        <v>0</v>
      </c>
      <c r="P166" s="5">
        <f>($A166-1986)/((2-1)*$D$4)*B166+(1986+2*$D$4-$A166)/((2-1)*$D$4)*C166</f>
        <v>0</v>
      </c>
      <c r="Q166" s="5">
        <f>($A166-1989)/((2-1)*$D$4)*C166+(1989+2*$D$4-$A166)/((2-1)*$D$4)*D166</f>
        <v>0</v>
      </c>
      <c r="R166" s="5">
        <f>($A166-1992)/((2-1)*$D$4)*D166+(1992+2*$D$4-$A166)/((2-1)*$D$4)*E166</f>
        <v>0</v>
      </c>
      <c r="S166" s="5">
        <f>($A166-1995)/((2-1)*$D$4)*E166+(1995+2*$D$4-$A166)/((2-1)*$D$4)*F166</f>
        <v>0</v>
      </c>
      <c r="T166" s="5">
        <f>($A166-1998)/((2-1)*$D$4)*F166+(1998+2*$D$4-$A166)/((2-1)*$D$4)*G166</f>
        <v>0</v>
      </c>
      <c r="U166" s="5">
        <f>($A166-2001)/((2-1)*$D$4)*G166+(2001+2*$D$4-$A166)/((2-1)*$D$4)*H166</f>
        <v>0</v>
      </c>
      <c r="V166" s="5">
        <f>($A166-2004)/((2-1)*$D$4)*H166+(2004+2*$D$4-$A166)/((2-1)*$D$4)*I166</f>
        <v>0</v>
      </c>
      <c r="W166" s="5">
        <f>($A166-2007)/((2-1)*$D$4)*I166+(2007+2*$D$4-$A166)/((2-1)*$D$4)*J166</f>
        <v>0.66666666666666663</v>
      </c>
      <c r="X166" s="5">
        <f>($A166-2010)/((2-1)*$D$4)*J166+(2010+2*$D$4-$A166)/((2-1)*$D$4)*K166</f>
        <v>0.33333333333333331</v>
      </c>
      <c r="Y166" s="5">
        <f>($A166-2013)/((2-1)*$D$4)*K166+(2013+2*$D$4-$A166)/((2-1)*$D$4)*L166</f>
        <v>0</v>
      </c>
      <c r="Z166" s="5">
        <f>($A166-2016)/((2-1)*$D$4)*L166+(2016+2*$D$4-$A166)/((2-1)*$D$4)*M166</f>
        <v>0</v>
      </c>
      <c r="AA166" s="5">
        <f>($A166-2019)/((2-1)*$D$4)*M166+(2019+2*$D$4-$A166)/((2-1)*$D$4)*N166</f>
        <v>0</v>
      </c>
      <c r="AB166" s="5">
        <f>($A166-2022)/((2-1)*$D$4)*N166+(2022+2*$D$4-$A166)/((2-1)*$D$4)*O166</f>
        <v>0</v>
      </c>
      <c r="AC166" s="5">
        <f>($A166-1986)/((3-1)*$D$4)*P166+(1986+3*$D$4-$A166)/((3-1)*$D$4)*Q166</f>
        <v>0</v>
      </c>
      <c r="AD166" s="5">
        <f>($A166-1989)/((3-1)*$D$4)*Q166+(1989+3*$D$4-$A166)/((3-1)*$D$4)*R166</f>
        <v>0</v>
      </c>
      <c r="AE166" s="5">
        <f>($A166-1992)/((3-1)*$D$4)*R166+(1992+3*$D$4-$A166)/((3-1)*$D$4)*S166</f>
        <v>0</v>
      </c>
      <c r="AF166" s="5">
        <f>($A166-1995)/((3-1)*$D$4)*S166+(1995+3*$D$4-$A166)/((3-1)*$D$4)*T166</f>
        <v>0</v>
      </c>
      <c r="AG166" s="5">
        <f>($A166-1998)/((3-1)*$D$4)*T166+(1998+3*$D$4-$A166)/((3-1)*$D$4)*U166</f>
        <v>0</v>
      </c>
      <c r="AH166" s="5">
        <f>($A166-2001)/((3-1)*$D$4)*U166+(2001+3*$D$4-$A166)/((3-1)*$D$4)*V166</f>
        <v>0</v>
      </c>
      <c r="AI166" s="5">
        <f>($A166-2004)/((3-1)*$D$4)*V166+(2004+3*$D$4-$A166)/((3-1)*$D$4)*W166</f>
        <v>0.22222222222222221</v>
      </c>
      <c r="AJ166" s="5">
        <f>($A166-2007)/((3-1)*$D$4)*W166+(2007+3*$D$4-$A166)/((3-1)*$D$4)*X166</f>
        <v>0.72222222222222221</v>
      </c>
      <c r="AK166" s="5">
        <f>($A166-2010)/((3-1)*$D$4)*X166+(2010+3*$D$4-$A166)/((3-1)*$D$4)*Y166</f>
        <v>0.055555555555555552</v>
      </c>
      <c r="AL166" s="5">
        <f>($A166-2013)/((3-1)*$D$4)*Y166+(2013+3*$D$4-$A166)/((3-1)*$D$4)*Z166</f>
        <v>0</v>
      </c>
      <c r="AM166" s="5">
        <f>($A166-2016)/((3-1)*$D$4)*Z166+(2016+3*$D$4-$A166)/((3-1)*$D$4)*AA166</f>
        <v>0</v>
      </c>
      <c r="AN166" s="5">
        <f>($A166-2019)/((3-1)*$D$4)*AA166+(2019+3*$D$4-$A166)/((3-1)*$D$4)*AB166</f>
        <v>0</v>
      </c>
      <c r="AO166" s="5">
        <f>($A166-1986)/((4-1)*$D$4)*AC166+(1986+4*$D$4-$A166)/((4-1)*$D$4)*AD166</f>
        <v>0</v>
      </c>
      <c r="AP166" s="5">
        <f>($A166-1989)/((4-1)*$D$4)*AD166+(1989+4*$D$4-$A166)/((4-1)*$D$4)*AE166</f>
        <v>0</v>
      </c>
      <c r="AQ166" s="5">
        <f>($A166-1992)/((4-1)*$D$4)*AE166+(1992+4*$D$4-$A166)/((4-1)*$D$4)*AF166</f>
        <v>0</v>
      </c>
      <c r="AR166" s="5">
        <f>($A166-1995)/((4-1)*$D$4)*AF166+(1995+4*$D$4-$A166)/((4-1)*$D$4)*AG166</f>
        <v>0</v>
      </c>
      <c r="AS166" s="5">
        <f>($A166-1998)/((4-1)*$D$4)*AG166+(1998+4*$D$4-$A166)/((4-1)*$D$4)*AH166</f>
        <v>0</v>
      </c>
      <c r="AT166" s="5">
        <f>($A166-2001)/((4-1)*$D$4)*AH166+(2001+4*$D$4-$A166)/((4-1)*$D$4)*AI166</f>
        <v>0.049382716049382713</v>
      </c>
      <c r="AU166" s="5">
        <f>($A166-2004)/((4-1)*$D$4)*AI166+(2004+4*$D$4-$A166)/((4-1)*$D$4)*AJ166</f>
        <v>0.57407407407407407</v>
      </c>
      <c r="AV166" s="5">
        <f>($A166-2007)/((4-1)*$D$4)*AJ166+(2007+4*$D$4-$A166)/((4-1)*$D$4)*AK166</f>
        <v>0.37037037037037035</v>
      </c>
      <c r="AW166" s="5">
        <f>($A166-2010)/((4-1)*$D$4)*AK166+(2010+4*$D$4-$A166)/((4-1)*$D$4)*AL166</f>
        <v>0.0061728395061728392</v>
      </c>
      <c r="AX166" s="5">
        <f>($A166-2013)/((4-1)*$D$4)*AL166+(2013+4*$D$4-$A166)/((4-1)*$D$4)*AM166</f>
        <v>0</v>
      </c>
      <c r="AY166" s="5">
        <f>($A166-2016)/((4-1)*$D$4)*AM166+(2016+4*$D$4-$A166)/((4-1)*$D$4)*AN166</f>
        <v>0</v>
      </c>
    </row>
    <row r="167">
      <c r="A167" s="3" t="n">
        <v>2012</v>
      </c>
      <c r="B167" s="5">
        <f>IF(AND($A167&gt;=1986,$A167&lt;1989),1,0)</f>
        <v>0</v>
      </c>
      <c r="C167" s="5">
        <f>IF(AND($A167&gt;=1989,$A167&lt;1992),1,0)</f>
        <v>0</v>
      </c>
      <c r="D167" s="5">
        <f>IF(AND($A167&gt;=1992,$A167&lt;1995),1,0)</f>
        <v>0</v>
      </c>
      <c r="E167" s="5">
        <f>IF(AND($A167&gt;=1995,$A167&lt;1998),1,0)</f>
        <v>0</v>
      </c>
      <c r="F167" s="5">
        <f>IF(AND($A167&gt;=1998,$A167&lt;2001),1,0)</f>
        <v>0</v>
      </c>
      <c r="G167" s="5">
        <f>IF(AND($A167&gt;=2001,$A167&lt;2004),1,0)</f>
        <v>0</v>
      </c>
      <c r="H167" s="5">
        <f>IF(AND($A167&gt;=2004,$A167&lt;2007),1,0)</f>
        <v>0</v>
      </c>
      <c r="I167" s="5">
        <f>IF(AND($A167&gt;=2007,$A167&lt;2010),1,0)</f>
        <v>0</v>
      </c>
      <c r="J167" s="5">
        <f>IF(AND($A167&gt;=2010,$A167&lt;2013),1,0)</f>
        <v>1</v>
      </c>
      <c r="K167" s="5">
        <f>IF(AND($A167&gt;=2013,$A167&lt;2016),1,0)</f>
        <v>0</v>
      </c>
      <c r="L167" s="5">
        <f>IF(AND($A167&gt;=2016,$A167&lt;2019),1,0)</f>
        <v>0</v>
      </c>
      <c r="M167" s="5">
        <f>IF(AND($A167&gt;=2019,$A167&lt;2022),1,0)</f>
        <v>0</v>
      </c>
      <c r="N167" s="5">
        <f>IF(AND($A167&gt;=2022,$A167&lt;2025),1,0)</f>
        <v>0</v>
      </c>
      <c r="O167" s="5">
        <f>IF(AND($A167&gt;=2025,$A167&lt;2028),1,0)</f>
        <v>0</v>
      </c>
      <c r="P167" s="5">
        <f>($A167-1986)/((2-1)*$D$4)*B167+(1986+2*$D$4-$A167)/((2-1)*$D$4)*C167</f>
        <v>0</v>
      </c>
      <c r="Q167" s="5">
        <f>($A167-1989)/((2-1)*$D$4)*C167+(1989+2*$D$4-$A167)/((2-1)*$D$4)*D167</f>
        <v>0</v>
      </c>
      <c r="R167" s="5">
        <f>($A167-1992)/((2-1)*$D$4)*D167+(1992+2*$D$4-$A167)/((2-1)*$D$4)*E167</f>
        <v>0</v>
      </c>
      <c r="S167" s="5">
        <f>($A167-1995)/((2-1)*$D$4)*E167+(1995+2*$D$4-$A167)/((2-1)*$D$4)*F167</f>
        <v>0</v>
      </c>
      <c r="T167" s="5">
        <f>($A167-1998)/((2-1)*$D$4)*F167+(1998+2*$D$4-$A167)/((2-1)*$D$4)*G167</f>
        <v>0</v>
      </c>
      <c r="U167" s="5">
        <f>($A167-2001)/((2-1)*$D$4)*G167+(2001+2*$D$4-$A167)/((2-1)*$D$4)*H167</f>
        <v>0</v>
      </c>
      <c r="V167" s="5">
        <f>($A167-2004)/((2-1)*$D$4)*H167+(2004+2*$D$4-$A167)/((2-1)*$D$4)*I167</f>
        <v>0</v>
      </c>
      <c r="W167" s="5">
        <f>($A167-2007)/((2-1)*$D$4)*I167+(2007+2*$D$4-$A167)/((2-1)*$D$4)*J167</f>
        <v>0.33333333333333331</v>
      </c>
      <c r="X167" s="5">
        <f>($A167-2010)/((2-1)*$D$4)*J167+(2010+2*$D$4-$A167)/((2-1)*$D$4)*K167</f>
        <v>0.66666666666666663</v>
      </c>
      <c r="Y167" s="5">
        <f>($A167-2013)/((2-1)*$D$4)*K167+(2013+2*$D$4-$A167)/((2-1)*$D$4)*L167</f>
        <v>0</v>
      </c>
      <c r="Z167" s="5">
        <f>($A167-2016)/((2-1)*$D$4)*L167+(2016+2*$D$4-$A167)/((2-1)*$D$4)*M167</f>
        <v>0</v>
      </c>
      <c r="AA167" s="5">
        <f>($A167-2019)/((2-1)*$D$4)*M167+(2019+2*$D$4-$A167)/((2-1)*$D$4)*N167</f>
        <v>0</v>
      </c>
      <c r="AB167" s="5">
        <f>($A167-2022)/((2-1)*$D$4)*N167+(2022+2*$D$4-$A167)/((2-1)*$D$4)*O167</f>
        <v>0</v>
      </c>
      <c r="AC167" s="5">
        <f>($A167-1986)/((3-1)*$D$4)*P167+(1986+3*$D$4-$A167)/((3-1)*$D$4)*Q167</f>
        <v>0</v>
      </c>
      <c r="AD167" s="5">
        <f>($A167-1989)/((3-1)*$D$4)*Q167+(1989+3*$D$4-$A167)/((3-1)*$D$4)*R167</f>
        <v>0</v>
      </c>
      <c r="AE167" s="5">
        <f>($A167-1992)/((3-1)*$D$4)*R167+(1992+3*$D$4-$A167)/((3-1)*$D$4)*S167</f>
        <v>0</v>
      </c>
      <c r="AF167" s="5">
        <f>($A167-1995)/((3-1)*$D$4)*S167+(1995+3*$D$4-$A167)/((3-1)*$D$4)*T167</f>
        <v>0</v>
      </c>
      <c r="AG167" s="5">
        <f>($A167-1998)/((3-1)*$D$4)*T167+(1998+3*$D$4-$A167)/((3-1)*$D$4)*U167</f>
        <v>0</v>
      </c>
      <c r="AH167" s="5">
        <f>($A167-2001)/((3-1)*$D$4)*U167+(2001+3*$D$4-$A167)/((3-1)*$D$4)*V167</f>
        <v>0</v>
      </c>
      <c r="AI167" s="5">
        <f>($A167-2004)/((3-1)*$D$4)*V167+(2004+3*$D$4-$A167)/((3-1)*$D$4)*W167</f>
        <v>0.055555555555555552</v>
      </c>
      <c r="AJ167" s="5">
        <f>($A167-2007)/((3-1)*$D$4)*W167+(2007+3*$D$4-$A167)/((3-1)*$D$4)*X167</f>
        <v>0.72222222222222221</v>
      </c>
      <c r="AK167" s="5">
        <f>($A167-2010)/((3-1)*$D$4)*X167+(2010+3*$D$4-$A167)/((3-1)*$D$4)*Y167</f>
        <v>0.22222222222222221</v>
      </c>
      <c r="AL167" s="5">
        <f>($A167-2013)/((3-1)*$D$4)*Y167+(2013+3*$D$4-$A167)/((3-1)*$D$4)*Z167</f>
        <v>0</v>
      </c>
      <c r="AM167" s="5">
        <f>($A167-2016)/((3-1)*$D$4)*Z167+(2016+3*$D$4-$A167)/((3-1)*$D$4)*AA167</f>
        <v>0</v>
      </c>
      <c r="AN167" s="5">
        <f>($A167-2019)/((3-1)*$D$4)*AA167+(2019+3*$D$4-$A167)/((3-1)*$D$4)*AB167</f>
        <v>0</v>
      </c>
      <c r="AO167" s="5">
        <f>($A167-1986)/((4-1)*$D$4)*AC167+(1986+4*$D$4-$A167)/((4-1)*$D$4)*AD167</f>
        <v>0</v>
      </c>
      <c r="AP167" s="5">
        <f>($A167-1989)/((4-1)*$D$4)*AD167+(1989+4*$D$4-$A167)/((4-1)*$D$4)*AE167</f>
        <v>0</v>
      </c>
      <c r="AQ167" s="5">
        <f>($A167-1992)/((4-1)*$D$4)*AE167+(1992+4*$D$4-$A167)/((4-1)*$D$4)*AF167</f>
        <v>0</v>
      </c>
      <c r="AR167" s="5">
        <f>($A167-1995)/((4-1)*$D$4)*AF167+(1995+4*$D$4-$A167)/((4-1)*$D$4)*AG167</f>
        <v>0</v>
      </c>
      <c r="AS167" s="5">
        <f>($A167-1998)/((4-1)*$D$4)*AG167+(1998+4*$D$4-$A167)/((4-1)*$D$4)*AH167</f>
        <v>0</v>
      </c>
      <c r="AT167" s="5">
        <f>($A167-2001)/((4-1)*$D$4)*AH167+(2001+4*$D$4-$A167)/((4-1)*$D$4)*AI167</f>
        <v>0.0061728395061728392</v>
      </c>
      <c r="AU167" s="5">
        <f>($A167-2004)/((4-1)*$D$4)*AI167+(2004+4*$D$4-$A167)/((4-1)*$D$4)*AJ167</f>
        <v>0.37037037037037035</v>
      </c>
      <c r="AV167" s="5">
        <f>($A167-2007)/((4-1)*$D$4)*AJ167+(2007+4*$D$4-$A167)/((4-1)*$D$4)*AK167</f>
        <v>0.57407407407407407</v>
      </c>
      <c r="AW167" s="5">
        <f>($A167-2010)/((4-1)*$D$4)*AK167+(2010+4*$D$4-$A167)/((4-1)*$D$4)*AL167</f>
        <v>0.049382716049382713</v>
      </c>
      <c r="AX167" s="5">
        <f>($A167-2013)/((4-1)*$D$4)*AL167+(2013+4*$D$4-$A167)/((4-1)*$D$4)*AM167</f>
        <v>0</v>
      </c>
      <c r="AY167" s="5">
        <f>($A167-2016)/((4-1)*$D$4)*AM167+(2016+4*$D$4-$A167)/((4-1)*$D$4)*AN167</f>
        <v>0</v>
      </c>
    </row>
    <row r="168">
      <c r="A168" s="3" t="n">
        <v>2013</v>
      </c>
      <c r="B168" s="5">
        <f>IF(AND($A168&gt;=1986,$A168&lt;1989),1,0)</f>
        <v>0</v>
      </c>
      <c r="C168" s="5">
        <f>IF(AND($A168&gt;=1989,$A168&lt;1992),1,0)</f>
        <v>0</v>
      </c>
      <c r="D168" s="5">
        <f>IF(AND($A168&gt;=1992,$A168&lt;1995),1,0)</f>
        <v>0</v>
      </c>
      <c r="E168" s="5">
        <f>IF(AND($A168&gt;=1995,$A168&lt;1998),1,0)</f>
        <v>0</v>
      </c>
      <c r="F168" s="5">
        <f>IF(AND($A168&gt;=1998,$A168&lt;2001),1,0)</f>
        <v>0</v>
      </c>
      <c r="G168" s="5">
        <f>IF(AND($A168&gt;=2001,$A168&lt;2004),1,0)</f>
        <v>0</v>
      </c>
      <c r="H168" s="5">
        <f>IF(AND($A168&gt;=2004,$A168&lt;2007),1,0)</f>
        <v>0</v>
      </c>
      <c r="I168" s="5">
        <f>IF(AND($A168&gt;=2007,$A168&lt;2010),1,0)</f>
        <v>0</v>
      </c>
      <c r="J168" s="5">
        <f>IF(AND($A168&gt;=2010,$A168&lt;2013),1,0)</f>
        <v>0</v>
      </c>
      <c r="K168" s="5">
        <f>IF(AND($A168&gt;=2013,$A168&lt;2016),1,0)</f>
        <v>1</v>
      </c>
      <c r="L168" s="5">
        <f>IF(AND($A168&gt;=2016,$A168&lt;2019),1,0)</f>
        <v>0</v>
      </c>
      <c r="M168" s="5">
        <f>IF(AND($A168&gt;=2019,$A168&lt;2022),1,0)</f>
        <v>0</v>
      </c>
      <c r="N168" s="5">
        <f>IF(AND($A168&gt;=2022,$A168&lt;2025),1,0)</f>
        <v>0</v>
      </c>
      <c r="O168" s="5">
        <f>IF(AND($A168&gt;=2025,$A168&lt;2028),1,0)</f>
        <v>0</v>
      </c>
      <c r="P168" s="5">
        <f>($A168-1986)/((2-1)*$D$4)*B168+(1986+2*$D$4-$A168)/((2-1)*$D$4)*C168</f>
        <v>0</v>
      </c>
      <c r="Q168" s="5">
        <f>($A168-1989)/((2-1)*$D$4)*C168+(1989+2*$D$4-$A168)/((2-1)*$D$4)*D168</f>
        <v>0</v>
      </c>
      <c r="R168" s="5">
        <f>($A168-1992)/((2-1)*$D$4)*D168+(1992+2*$D$4-$A168)/((2-1)*$D$4)*E168</f>
        <v>0</v>
      </c>
      <c r="S168" s="5">
        <f>($A168-1995)/((2-1)*$D$4)*E168+(1995+2*$D$4-$A168)/((2-1)*$D$4)*F168</f>
        <v>0</v>
      </c>
      <c r="T168" s="5">
        <f>($A168-1998)/((2-1)*$D$4)*F168+(1998+2*$D$4-$A168)/((2-1)*$D$4)*G168</f>
        <v>0</v>
      </c>
      <c r="U168" s="5">
        <f>($A168-2001)/((2-1)*$D$4)*G168+(2001+2*$D$4-$A168)/((2-1)*$D$4)*H168</f>
        <v>0</v>
      </c>
      <c r="V168" s="5">
        <f>($A168-2004)/((2-1)*$D$4)*H168+(2004+2*$D$4-$A168)/((2-1)*$D$4)*I168</f>
        <v>0</v>
      </c>
      <c r="W168" s="5">
        <f>($A168-2007)/((2-1)*$D$4)*I168+(2007+2*$D$4-$A168)/((2-1)*$D$4)*J168</f>
        <v>0</v>
      </c>
      <c r="X168" s="5">
        <f>($A168-2010)/((2-1)*$D$4)*J168+(2010+2*$D$4-$A168)/((2-1)*$D$4)*K168</f>
        <v>1</v>
      </c>
      <c r="Y168" s="5">
        <f>($A168-2013)/((2-1)*$D$4)*K168+(2013+2*$D$4-$A168)/((2-1)*$D$4)*L168</f>
        <v>0</v>
      </c>
      <c r="Z168" s="5">
        <f>($A168-2016)/((2-1)*$D$4)*L168+(2016+2*$D$4-$A168)/((2-1)*$D$4)*M168</f>
        <v>0</v>
      </c>
      <c r="AA168" s="5">
        <f>($A168-2019)/((2-1)*$D$4)*M168+(2019+2*$D$4-$A168)/((2-1)*$D$4)*N168</f>
        <v>0</v>
      </c>
      <c r="AB168" s="5">
        <f>($A168-2022)/((2-1)*$D$4)*N168+(2022+2*$D$4-$A168)/((2-1)*$D$4)*O168</f>
        <v>0</v>
      </c>
      <c r="AC168" s="5">
        <f>($A168-1986)/((3-1)*$D$4)*P168+(1986+3*$D$4-$A168)/((3-1)*$D$4)*Q168</f>
        <v>0</v>
      </c>
      <c r="AD168" s="5">
        <f>($A168-1989)/((3-1)*$D$4)*Q168+(1989+3*$D$4-$A168)/((3-1)*$D$4)*R168</f>
        <v>0</v>
      </c>
      <c r="AE168" s="5">
        <f>($A168-1992)/((3-1)*$D$4)*R168+(1992+3*$D$4-$A168)/((3-1)*$D$4)*S168</f>
        <v>0</v>
      </c>
      <c r="AF168" s="5">
        <f>($A168-1995)/((3-1)*$D$4)*S168+(1995+3*$D$4-$A168)/((3-1)*$D$4)*T168</f>
        <v>0</v>
      </c>
      <c r="AG168" s="5">
        <f>($A168-1998)/((3-1)*$D$4)*T168+(1998+3*$D$4-$A168)/((3-1)*$D$4)*U168</f>
        <v>0</v>
      </c>
      <c r="AH168" s="5">
        <f>($A168-2001)/((3-1)*$D$4)*U168+(2001+3*$D$4-$A168)/((3-1)*$D$4)*V168</f>
        <v>0</v>
      </c>
      <c r="AI168" s="5">
        <f>($A168-2004)/((3-1)*$D$4)*V168+(2004+3*$D$4-$A168)/((3-1)*$D$4)*W168</f>
        <v>0</v>
      </c>
      <c r="AJ168" s="5">
        <f>($A168-2007)/((3-1)*$D$4)*W168+(2007+3*$D$4-$A168)/((3-1)*$D$4)*X168</f>
        <v>0.5</v>
      </c>
      <c r="AK168" s="5">
        <f>($A168-2010)/((3-1)*$D$4)*X168+(2010+3*$D$4-$A168)/((3-1)*$D$4)*Y168</f>
        <v>0.5</v>
      </c>
      <c r="AL168" s="5">
        <f>($A168-2013)/((3-1)*$D$4)*Y168+(2013+3*$D$4-$A168)/((3-1)*$D$4)*Z168</f>
        <v>0</v>
      </c>
      <c r="AM168" s="5">
        <f>($A168-2016)/((3-1)*$D$4)*Z168+(2016+3*$D$4-$A168)/((3-1)*$D$4)*AA168</f>
        <v>0</v>
      </c>
      <c r="AN168" s="5">
        <f>($A168-2019)/((3-1)*$D$4)*AA168+(2019+3*$D$4-$A168)/((3-1)*$D$4)*AB168</f>
        <v>0</v>
      </c>
      <c r="AO168" s="5">
        <f>($A168-1986)/((4-1)*$D$4)*AC168+(1986+4*$D$4-$A168)/((4-1)*$D$4)*AD168</f>
        <v>0</v>
      </c>
      <c r="AP168" s="5">
        <f>($A168-1989)/((4-1)*$D$4)*AD168+(1989+4*$D$4-$A168)/((4-1)*$D$4)*AE168</f>
        <v>0</v>
      </c>
      <c r="AQ168" s="5">
        <f>($A168-1992)/((4-1)*$D$4)*AE168+(1992+4*$D$4-$A168)/((4-1)*$D$4)*AF168</f>
        <v>0</v>
      </c>
      <c r="AR168" s="5">
        <f>($A168-1995)/((4-1)*$D$4)*AF168+(1995+4*$D$4-$A168)/((4-1)*$D$4)*AG168</f>
        <v>0</v>
      </c>
      <c r="AS168" s="5">
        <f>($A168-1998)/((4-1)*$D$4)*AG168+(1998+4*$D$4-$A168)/((4-1)*$D$4)*AH168</f>
        <v>0</v>
      </c>
      <c r="AT168" s="5">
        <f>($A168-2001)/((4-1)*$D$4)*AH168+(2001+4*$D$4-$A168)/((4-1)*$D$4)*AI168</f>
        <v>0</v>
      </c>
      <c r="AU168" s="5">
        <f>($A168-2004)/((4-1)*$D$4)*AI168+(2004+4*$D$4-$A168)/((4-1)*$D$4)*AJ168</f>
        <v>0.16666666666666666</v>
      </c>
      <c r="AV168" s="5">
        <f>($A168-2007)/((4-1)*$D$4)*AJ168+(2007+4*$D$4-$A168)/((4-1)*$D$4)*AK168</f>
        <v>0.66666666666666663</v>
      </c>
      <c r="AW168" s="5">
        <f>($A168-2010)/((4-1)*$D$4)*AK168+(2010+4*$D$4-$A168)/((4-1)*$D$4)*AL168</f>
        <v>0.16666666666666666</v>
      </c>
      <c r="AX168" s="5">
        <f>($A168-2013)/((4-1)*$D$4)*AL168+(2013+4*$D$4-$A168)/((4-1)*$D$4)*AM168</f>
        <v>0</v>
      </c>
      <c r="AY168" s="5">
        <f>($A168-2016)/((4-1)*$D$4)*AM168+(2016+4*$D$4-$A168)/((4-1)*$D$4)*AN168</f>
        <v>0</v>
      </c>
    </row>
    <row r="169">
      <c r="A169" s="3" t="n">
        <v>2014</v>
      </c>
      <c r="B169" s="5">
        <f>IF(AND($A169&gt;=1986,$A169&lt;1989),1,0)</f>
        <v>0</v>
      </c>
      <c r="C169" s="5">
        <f>IF(AND($A169&gt;=1989,$A169&lt;1992),1,0)</f>
        <v>0</v>
      </c>
      <c r="D169" s="5">
        <f>IF(AND($A169&gt;=1992,$A169&lt;1995),1,0)</f>
        <v>0</v>
      </c>
      <c r="E169" s="5">
        <f>IF(AND($A169&gt;=1995,$A169&lt;1998),1,0)</f>
        <v>0</v>
      </c>
      <c r="F169" s="5">
        <f>IF(AND($A169&gt;=1998,$A169&lt;2001),1,0)</f>
        <v>0</v>
      </c>
      <c r="G169" s="5">
        <f>IF(AND($A169&gt;=2001,$A169&lt;2004),1,0)</f>
        <v>0</v>
      </c>
      <c r="H169" s="5">
        <f>IF(AND($A169&gt;=2004,$A169&lt;2007),1,0)</f>
        <v>0</v>
      </c>
      <c r="I169" s="5">
        <f>IF(AND($A169&gt;=2007,$A169&lt;2010),1,0)</f>
        <v>0</v>
      </c>
      <c r="J169" s="5">
        <f>IF(AND($A169&gt;=2010,$A169&lt;2013),1,0)</f>
        <v>0</v>
      </c>
      <c r="K169" s="5">
        <f>IF(AND($A169&gt;=2013,$A169&lt;2016),1,0)</f>
        <v>1</v>
      </c>
      <c r="L169" s="5">
        <f>IF(AND($A169&gt;=2016,$A169&lt;2019),1,0)</f>
        <v>0</v>
      </c>
      <c r="M169" s="5">
        <f>IF(AND($A169&gt;=2019,$A169&lt;2022),1,0)</f>
        <v>0</v>
      </c>
      <c r="N169" s="5">
        <f>IF(AND($A169&gt;=2022,$A169&lt;2025),1,0)</f>
        <v>0</v>
      </c>
      <c r="O169" s="5">
        <f>IF(AND($A169&gt;=2025,$A169&lt;2028),1,0)</f>
        <v>0</v>
      </c>
      <c r="P169" s="5">
        <f>($A169-1986)/((2-1)*$D$4)*B169+(1986+2*$D$4-$A169)/((2-1)*$D$4)*C169</f>
        <v>0</v>
      </c>
      <c r="Q169" s="5">
        <f>($A169-1989)/((2-1)*$D$4)*C169+(1989+2*$D$4-$A169)/((2-1)*$D$4)*D169</f>
        <v>0</v>
      </c>
      <c r="R169" s="5">
        <f>($A169-1992)/((2-1)*$D$4)*D169+(1992+2*$D$4-$A169)/((2-1)*$D$4)*E169</f>
        <v>0</v>
      </c>
      <c r="S169" s="5">
        <f>($A169-1995)/((2-1)*$D$4)*E169+(1995+2*$D$4-$A169)/((2-1)*$D$4)*F169</f>
        <v>0</v>
      </c>
      <c r="T169" s="5">
        <f>($A169-1998)/((2-1)*$D$4)*F169+(1998+2*$D$4-$A169)/((2-1)*$D$4)*G169</f>
        <v>0</v>
      </c>
      <c r="U169" s="5">
        <f>($A169-2001)/((2-1)*$D$4)*G169+(2001+2*$D$4-$A169)/((2-1)*$D$4)*H169</f>
        <v>0</v>
      </c>
      <c r="V169" s="5">
        <f>($A169-2004)/((2-1)*$D$4)*H169+(2004+2*$D$4-$A169)/((2-1)*$D$4)*I169</f>
        <v>0</v>
      </c>
      <c r="W169" s="5">
        <f>($A169-2007)/((2-1)*$D$4)*I169+(2007+2*$D$4-$A169)/((2-1)*$D$4)*J169</f>
        <v>0</v>
      </c>
      <c r="X169" s="5">
        <f>($A169-2010)/((2-1)*$D$4)*J169+(2010+2*$D$4-$A169)/((2-1)*$D$4)*K169</f>
        <v>0.66666666666666663</v>
      </c>
      <c r="Y169" s="5">
        <f>($A169-2013)/((2-1)*$D$4)*K169+(2013+2*$D$4-$A169)/((2-1)*$D$4)*L169</f>
        <v>0.33333333333333331</v>
      </c>
      <c r="Z169" s="5">
        <f>($A169-2016)/((2-1)*$D$4)*L169+(2016+2*$D$4-$A169)/((2-1)*$D$4)*M169</f>
        <v>0</v>
      </c>
      <c r="AA169" s="5">
        <f>($A169-2019)/((2-1)*$D$4)*M169+(2019+2*$D$4-$A169)/((2-1)*$D$4)*N169</f>
        <v>0</v>
      </c>
      <c r="AB169" s="5">
        <f>($A169-2022)/((2-1)*$D$4)*N169+(2022+2*$D$4-$A169)/((2-1)*$D$4)*O169</f>
        <v>0</v>
      </c>
      <c r="AC169" s="5">
        <f>($A169-1986)/((3-1)*$D$4)*P169+(1986+3*$D$4-$A169)/((3-1)*$D$4)*Q169</f>
        <v>0</v>
      </c>
      <c r="AD169" s="5">
        <f>($A169-1989)/((3-1)*$D$4)*Q169+(1989+3*$D$4-$A169)/((3-1)*$D$4)*R169</f>
        <v>0</v>
      </c>
      <c r="AE169" s="5">
        <f>($A169-1992)/((3-1)*$D$4)*R169+(1992+3*$D$4-$A169)/((3-1)*$D$4)*S169</f>
        <v>0</v>
      </c>
      <c r="AF169" s="5">
        <f>($A169-1995)/((3-1)*$D$4)*S169+(1995+3*$D$4-$A169)/((3-1)*$D$4)*T169</f>
        <v>0</v>
      </c>
      <c r="AG169" s="5">
        <f>($A169-1998)/((3-1)*$D$4)*T169+(1998+3*$D$4-$A169)/((3-1)*$D$4)*U169</f>
        <v>0</v>
      </c>
      <c r="AH169" s="5">
        <f>($A169-2001)/((3-1)*$D$4)*U169+(2001+3*$D$4-$A169)/((3-1)*$D$4)*V169</f>
        <v>0</v>
      </c>
      <c r="AI169" s="5">
        <f>($A169-2004)/((3-1)*$D$4)*V169+(2004+3*$D$4-$A169)/((3-1)*$D$4)*W169</f>
        <v>0</v>
      </c>
      <c r="AJ169" s="5">
        <f>($A169-2007)/((3-1)*$D$4)*W169+(2007+3*$D$4-$A169)/((3-1)*$D$4)*X169</f>
        <v>0.22222222222222221</v>
      </c>
      <c r="AK169" s="5">
        <f>($A169-2010)/((3-1)*$D$4)*X169+(2010+3*$D$4-$A169)/((3-1)*$D$4)*Y169</f>
        <v>0.72222222222222221</v>
      </c>
      <c r="AL169" s="5">
        <f>($A169-2013)/((3-1)*$D$4)*Y169+(2013+3*$D$4-$A169)/((3-1)*$D$4)*Z169</f>
        <v>0.055555555555555552</v>
      </c>
      <c r="AM169" s="5">
        <f>($A169-2016)/((3-1)*$D$4)*Z169+(2016+3*$D$4-$A169)/((3-1)*$D$4)*AA169</f>
        <v>0</v>
      </c>
      <c r="AN169" s="5">
        <f>($A169-2019)/((3-1)*$D$4)*AA169+(2019+3*$D$4-$A169)/((3-1)*$D$4)*AB169</f>
        <v>0</v>
      </c>
      <c r="AO169" s="5">
        <f>($A169-1986)/((4-1)*$D$4)*AC169+(1986+4*$D$4-$A169)/((4-1)*$D$4)*AD169</f>
        <v>0</v>
      </c>
      <c r="AP169" s="5">
        <f>($A169-1989)/((4-1)*$D$4)*AD169+(1989+4*$D$4-$A169)/((4-1)*$D$4)*AE169</f>
        <v>0</v>
      </c>
      <c r="AQ169" s="5">
        <f>($A169-1992)/((4-1)*$D$4)*AE169+(1992+4*$D$4-$A169)/((4-1)*$D$4)*AF169</f>
        <v>0</v>
      </c>
      <c r="AR169" s="5">
        <f>($A169-1995)/((4-1)*$D$4)*AF169+(1995+4*$D$4-$A169)/((4-1)*$D$4)*AG169</f>
        <v>0</v>
      </c>
      <c r="AS169" s="5">
        <f>($A169-1998)/((4-1)*$D$4)*AG169+(1998+4*$D$4-$A169)/((4-1)*$D$4)*AH169</f>
        <v>0</v>
      </c>
      <c r="AT169" s="5">
        <f>($A169-2001)/((4-1)*$D$4)*AH169+(2001+4*$D$4-$A169)/((4-1)*$D$4)*AI169</f>
        <v>0</v>
      </c>
      <c r="AU169" s="5">
        <f>($A169-2004)/((4-1)*$D$4)*AI169+(2004+4*$D$4-$A169)/((4-1)*$D$4)*AJ169</f>
        <v>0.049382716049382713</v>
      </c>
      <c r="AV169" s="5">
        <f>($A169-2007)/((4-1)*$D$4)*AJ169+(2007+4*$D$4-$A169)/((4-1)*$D$4)*AK169</f>
        <v>0.57407407407407407</v>
      </c>
      <c r="AW169" s="5">
        <f>($A169-2010)/((4-1)*$D$4)*AK169+(2010+4*$D$4-$A169)/((4-1)*$D$4)*AL169</f>
        <v>0.37037037037037035</v>
      </c>
      <c r="AX169" s="5">
        <f>($A169-2013)/((4-1)*$D$4)*AL169+(2013+4*$D$4-$A169)/((4-1)*$D$4)*AM169</f>
        <v>0.0061728395061728392</v>
      </c>
      <c r="AY169" s="5">
        <f>($A169-2016)/((4-1)*$D$4)*AM169+(2016+4*$D$4-$A169)/((4-1)*$D$4)*AN169</f>
        <v>0</v>
      </c>
    </row>
    <row r="170">
      <c r="A170" s="3" t="n">
        <v>2015</v>
      </c>
      <c r="B170" s="5">
        <f>IF(AND($A170&gt;=1986,$A170&lt;1989),1,0)</f>
        <v>0</v>
      </c>
      <c r="C170" s="5">
        <f>IF(AND($A170&gt;=1989,$A170&lt;1992),1,0)</f>
        <v>0</v>
      </c>
      <c r="D170" s="5">
        <f>IF(AND($A170&gt;=1992,$A170&lt;1995),1,0)</f>
        <v>0</v>
      </c>
      <c r="E170" s="5">
        <f>IF(AND($A170&gt;=1995,$A170&lt;1998),1,0)</f>
        <v>0</v>
      </c>
      <c r="F170" s="5">
        <f>IF(AND($A170&gt;=1998,$A170&lt;2001),1,0)</f>
        <v>0</v>
      </c>
      <c r="G170" s="5">
        <f>IF(AND($A170&gt;=2001,$A170&lt;2004),1,0)</f>
        <v>0</v>
      </c>
      <c r="H170" s="5">
        <f>IF(AND($A170&gt;=2004,$A170&lt;2007),1,0)</f>
        <v>0</v>
      </c>
      <c r="I170" s="5">
        <f>IF(AND($A170&gt;=2007,$A170&lt;2010),1,0)</f>
        <v>0</v>
      </c>
      <c r="J170" s="5">
        <f>IF(AND($A170&gt;=2010,$A170&lt;2013),1,0)</f>
        <v>0</v>
      </c>
      <c r="K170" s="5">
        <f>IF(AND($A170&gt;=2013,$A170&lt;2016),1,0)</f>
        <v>1</v>
      </c>
      <c r="L170" s="5">
        <f>IF(AND($A170&gt;=2016,$A170&lt;2019),1,0)</f>
        <v>0</v>
      </c>
      <c r="M170" s="5">
        <f>IF(AND($A170&gt;=2019,$A170&lt;2022),1,0)</f>
        <v>0</v>
      </c>
      <c r="N170" s="5">
        <f>IF(AND($A170&gt;=2022,$A170&lt;2025),1,0)</f>
        <v>0</v>
      </c>
      <c r="O170" s="5">
        <f>IF(AND($A170&gt;=2025,$A170&lt;2028),1,0)</f>
        <v>0</v>
      </c>
      <c r="P170" s="5">
        <f>($A170-1986)/((2-1)*$D$4)*B170+(1986+2*$D$4-$A170)/((2-1)*$D$4)*C170</f>
        <v>0</v>
      </c>
      <c r="Q170" s="5">
        <f>($A170-1989)/((2-1)*$D$4)*C170+(1989+2*$D$4-$A170)/((2-1)*$D$4)*D170</f>
        <v>0</v>
      </c>
      <c r="R170" s="5">
        <f>($A170-1992)/((2-1)*$D$4)*D170+(1992+2*$D$4-$A170)/((2-1)*$D$4)*E170</f>
        <v>0</v>
      </c>
      <c r="S170" s="5">
        <f>($A170-1995)/((2-1)*$D$4)*E170+(1995+2*$D$4-$A170)/((2-1)*$D$4)*F170</f>
        <v>0</v>
      </c>
      <c r="T170" s="5">
        <f>($A170-1998)/((2-1)*$D$4)*F170+(1998+2*$D$4-$A170)/((2-1)*$D$4)*G170</f>
        <v>0</v>
      </c>
      <c r="U170" s="5">
        <f>($A170-2001)/((2-1)*$D$4)*G170+(2001+2*$D$4-$A170)/((2-1)*$D$4)*H170</f>
        <v>0</v>
      </c>
      <c r="V170" s="5">
        <f>($A170-2004)/((2-1)*$D$4)*H170+(2004+2*$D$4-$A170)/((2-1)*$D$4)*I170</f>
        <v>0</v>
      </c>
      <c r="W170" s="5">
        <f>($A170-2007)/((2-1)*$D$4)*I170+(2007+2*$D$4-$A170)/((2-1)*$D$4)*J170</f>
        <v>0</v>
      </c>
      <c r="X170" s="5">
        <f>($A170-2010)/((2-1)*$D$4)*J170+(2010+2*$D$4-$A170)/((2-1)*$D$4)*K170</f>
        <v>0.33333333333333331</v>
      </c>
      <c r="Y170" s="5">
        <f>($A170-2013)/((2-1)*$D$4)*K170+(2013+2*$D$4-$A170)/((2-1)*$D$4)*L170</f>
        <v>0.66666666666666663</v>
      </c>
      <c r="Z170" s="5">
        <f>($A170-2016)/((2-1)*$D$4)*L170+(2016+2*$D$4-$A170)/((2-1)*$D$4)*M170</f>
        <v>0</v>
      </c>
      <c r="AA170" s="5">
        <f>($A170-2019)/((2-1)*$D$4)*M170+(2019+2*$D$4-$A170)/((2-1)*$D$4)*N170</f>
        <v>0</v>
      </c>
      <c r="AB170" s="5">
        <f>($A170-2022)/((2-1)*$D$4)*N170+(2022+2*$D$4-$A170)/((2-1)*$D$4)*O170</f>
        <v>0</v>
      </c>
      <c r="AC170" s="5">
        <f>($A170-1986)/((3-1)*$D$4)*P170+(1986+3*$D$4-$A170)/((3-1)*$D$4)*Q170</f>
        <v>0</v>
      </c>
      <c r="AD170" s="5">
        <f>($A170-1989)/((3-1)*$D$4)*Q170+(1989+3*$D$4-$A170)/((3-1)*$D$4)*R170</f>
        <v>0</v>
      </c>
      <c r="AE170" s="5">
        <f>($A170-1992)/((3-1)*$D$4)*R170+(1992+3*$D$4-$A170)/((3-1)*$D$4)*S170</f>
        <v>0</v>
      </c>
      <c r="AF170" s="5">
        <f>($A170-1995)/((3-1)*$D$4)*S170+(1995+3*$D$4-$A170)/((3-1)*$D$4)*T170</f>
        <v>0</v>
      </c>
      <c r="AG170" s="5">
        <f>($A170-1998)/((3-1)*$D$4)*T170+(1998+3*$D$4-$A170)/((3-1)*$D$4)*U170</f>
        <v>0</v>
      </c>
      <c r="AH170" s="5">
        <f>($A170-2001)/((3-1)*$D$4)*U170+(2001+3*$D$4-$A170)/((3-1)*$D$4)*V170</f>
        <v>0</v>
      </c>
      <c r="AI170" s="5">
        <f>($A170-2004)/((3-1)*$D$4)*V170+(2004+3*$D$4-$A170)/((3-1)*$D$4)*W170</f>
        <v>0</v>
      </c>
      <c r="AJ170" s="5">
        <f>($A170-2007)/((3-1)*$D$4)*W170+(2007+3*$D$4-$A170)/((3-1)*$D$4)*X170</f>
        <v>0.055555555555555552</v>
      </c>
      <c r="AK170" s="5">
        <f>($A170-2010)/((3-1)*$D$4)*X170+(2010+3*$D$4-$A170)/((3-1)*$D$4)*Y170</f>
        <v>0.72222222222222221</v>
      </c>
      <c r="AL170" s="5">
        <f>($A170-2013)/((3-1)*$D$4)*Y170+(2013+3*$D$4-$A170)/((3-1)*$D$4)*Z170</f>
        <v>0.22222222222222221</v>
      </c>
      <c r="AM170" s="5">
        <f>($A170-2016)/((3-1)*$D$4)*Z170+(2016+3*$D$4-$A170)/((3-1)*$D$4)*AA170</f>
        <v>0</v>
      </c>
      <c r="AN170" s="5">
        <f>($A170-2019)/((3-1)*$D$4)*AA170+(2019+3*$D$4-$A170)/((3-1)*$D$4)*AB170</f>
        <v>0</v>
      </c>
      <c r="AO170" s="5">
        <f>($A170-1986)/((4-1)*$D$4)*AC170+(1986+4*$D$4-$A170)/((4-1)*$D$4)*AD170</f>
        <v>0</v>
      </c>
      <c r="AP170" s="5">
        <f>($A170-1989)/((4-1)*$D$4)*AD170+(1989+4*$D$4-$A170)/((4-1)*$D$4)*AE170</f>
        <v>0</v>
      </c>
      <c r="AQ170" s="5">
        <f>($A170-1992)/((4-1)*$D$4)*AE170+(1992+4*$D$4-$A170)/((4-1)*$D$4)*AF170</f>
        <v>0</v>
      </c>
      <c r="AR170" s="5">
        <f>($A170-1995)/((4-1)*$D$4)*AF170+(1995+4*$D$4-$A170)/((4-1)*$D$4)*AG170</f>
        <v>0</v>
      </c>
      <c r="AS170" s="5">
        <f>($A170-1998)/((4-1)*$D$4)*AG170+(1998+4*$D$4-$A170)/((4-1)*$D$4)*AH170</f>
        <v>0</v>
      </c>
      <c r="AT170" s="5">
        <f>($A170-2001)/((4-1)*$D$4)*AH170+(2001+4*$D$4-$A170)/((4-1)*$D$4)*AI170</f>
        <v>0</v>
      </c>
      <c r="AU170" s="5">
        <f>($A170-2004)/((4-1)*$D$4)*AI170+(2004+4*$D$4-$A170)/((4-1)*$D$4)*AJ170</f>
        <v>0.0061728395061728392</v>
      </c>
      <c r="AV170" s="5">
        <f>($A170-2007)/((4-1)*$D$4)*AJ170+(2007+4*$D$4-$A170)/((4-1)*$D$4)*AK170</f>
        <v>0.37037037037037035</v>
      </c>
      <c r="AW170" s="5">
        <f>($A170-2010)/((4-1)*$D$4)*AK170+(2010+4*$D$4-$A170)/((4-1)*$D$4)*AL170</f>
        <v>0.57407407407407407</v>
      </c>
      <c r="AX170" s="5">
        <f>($A170-2013)/((4-1)*$D$4)*AL170+(2013+4*$D$4-$A170)/((4-1)*$D$4)*AM170</f>
        <v>0.049382716049382713</v>
      </c>
      <c r="AY170" s="5">
        <f>($A170-2016)/((4-1)*$D$4)*AM170+(2016+4*$D$4-$A170)/((4-1)*$D$4)*AN170</f>
        <v>0</v>
      </c>
    </row>
    <row r="171">
      <c r="A171" s="3" t="n">
        <v>2016</v>
      </c>
      <c r="B171" s="5">
        <f>IF(AND($A171&gt;=1986,$A171&lt;1989),1,0)</f>
        <v>0</v>
      </c>
      <c r="C171" s="5">
        <f>IF(AND($A171&gt;=1989,$A171&lt;1992),1,0)</f>
        <v>0</v>
      </c>
      <c r="D171" s="5">
        <f>IF(AND($A171&gt;=1992,$A171&lt;1995),1,0)</f>
        <v>0</v>
      </c>
      <c r="E171" s="5">
        <f>IF(AND($A171&gt;=1995,$A171&lt;1998),1,0)</f>
        <v>0</v>
      </c>
      <c r="F171" s="5">
        <f>IF(AND($A171&gt;=1998,$A171&lt;2001),1,0)</f>
        <v>0</v>
      </c>
      <c r="G171" s="5">
        <f>IF(AND($A171&gt;=2001,$A171&lt;2004),1,0)</f>
        <v>0</v>
      </c>
      <c r="H171" s="5">
        <f>IF(AND($A171&gt;=2004,$A171&lt;2007),1,0)</f>
        <v>0</v>
      </c>
      <c r="I171" s="5">
        <f>IF(AND($A171&gt;=2007,$A171&lt;2010),1,0)</f>
        <v>0</v>
      </c>
      <c r="J171" s="5">
        <f>IF(AND($A171&gt;=2010,$A171&lt;2013),1,0)</f>
        <v>0</v>
      </c>
      <c r="K171" s="5">
        <f>IF(AND($A171&gt;=2013,$A171&lt;2016),1,0)</f>
        <v>0</v>
      </c>
      <c r="L171" s="5">
        <f>IF(AND($A171&gt;=2016,$A171&lt;2019),1,0)</f>
        <v>1</v>
      </c>
      <c r="M171" s="5">
        <f>IF(AND($A171&gt;=2019,$A171&lt;2022),1,0)</f>
        <v>0</v>
      </c>
      <c r="N171" s="5">
        <f>IF(AND($A171&gt;=2022,$A171&lt;2025),1,0)</f>
        <v>0</v>
      </c>
      <c r="O171" s="5">
        <f>IF(AND($A171&gt;=2025,$A171&lt;2028),1,0)</f>
        <v>0</v>
      </c>
      <c r="P171" s="5">
        <f>($A171-1986)/((2-1)*$D$4)*B171+(1986+2*$D$4-$A171)/((2-1)*$D$4)*C171</f>
        <v>0</v>
      </c>
      <c r="Q171" s="5">
        <f>($A171-1989)/((2-1)*$D$4)*C171+(1989+2*$D$4-$A171)/((2-1)*$D$4)*D171</f>
        <v>0</v>
      </c>
      <c r="R171" s="5">
        <f>($A171-1992)/((2-1)*$D$4)*D171+(1992+2*$D$4-$A171)/((2-1)*$D$4)*E171</f>
        <v>0</v>
      </c>
      <c r="S171" s="5">
        <f>($A171-1995)/((2-1)*$D$4)*E171+(1995+2*$D$4-$A171)/((2-1)*$D$4)*F171</f>
        <v>0</v>
      </c>
      <c r="T171" s="5">
        <f>($A171-1998)/((2-1)*$D$4)*F171+(1998+2*$D$4-$A171)/((2-1)*$D$4)*G171</f>
        <v>0</v>
      </c>
      <c r="U171" s="5">
        <f>($A171-2001)/((2-1)*$D$4)*G171+(2001+2*$D$4-$A171)/((2-1)*$D$4)*H171</f>
        <v>0</v>
      </c>
      <c r="V171" s="5">
        <f>($A171-2004)/((2-1)*$D$4)*H171+(2004+2*$D$4-$A171)/((2-1)*$D$4)*I171</f>
        <v>0</v>
      </c>
      <c r="W171" s="5">
        <f>($A171-2007)/((2-1)*$D$4)*I171+(2007+2*$D$4-$A171)/((2-1)*$D$4)*J171</f>
        <v>0</v>
      </c>
      <c r="X171" s="5">
        <f>($A171-2010)/((2-1)*$D$4)*J171+(2010+2*$D$4-$A171)/((2-1)*$D$4)*K171</f>
        <v>0</v>
      </c>
      <c r="Y171" s="5">
        <f>($A171-2013)/((2-1)*$D$4)*K171+(2013+2*$D$4-$A171)/((2-1)*$D$4)*L171</f>
        <v>1</v>
      </c>
      <c r="Z171" s="5">
        <f>($A171-2016)/((2-1)*$D$4)*L171+(2016+2*$D$4-$A171)/((2-1)*$D$4)*M171</f>
        <v>0</v>
      </c>
      <c r="AA171" s="5">
        <f>($A171-2019)/((2-1)*$D$4)*M171+(2019+2*$D$4-$A171)/((2-1)*$D$4)*N171</f>
        <v>0</v>
      </c>
      <c r="AB171" s="5">
        <f>($A171-2022)/((2-1)*$D$4)*N171+(2022+2*$D$4-$A171)/((2-1)*$D$4)*O171</f>
        <v>0</v>
      </c>
      <c r="AC171" s="5">
        <f>($A171-1986)/((3-1)*$D$4)*P171+(1986+3*$D$4-$A171)/((3-1)*$D$4)*Q171</f>
        <v>0</v>
      </c>
      <c r="AD171" s="5">
        <f>($A171-1989)/((3-1)*$D$4)*Q171+(1989+3*$D$4-$A171)/((3-1)*$D$4)*R171</f>
        <v>0</v>
      </c>
      <c r="AE171" s="5">
        <f>($A171-1992)/((3-1)*$D$4)*R171+(1992+3*$D$4-$A171)/((3-1)*$D$4)*S171</f>
        <v>0</v>
      </c>
      <c r="AF171" s="5">
        <f>($A171-1995)/((3-1)*$D$4)*S171+(1995+3*$D$4-$A171)/((3-1)*$D$4)*T171</f>
        <v>0</v>
      </c>
      <c r="AG171" s="5">
        <f>($A171-1998)/((3-1)*$D$4)*T171+(1998+3*$D$4-$A171)/((3-1)*$D$4)*U171</f>
        <v>0</v>
      </c>
      <c r="AH171" s="5">
        <f>($A171-2001)/((3-1)*$D$4)*U171+(2001+3*$D$4-$A171)/((3-1)*$D$4)*V171</f>
        <v>0</v>
      </c>
      <c r="AI171" s="5">
        <f>($A171-2004)/((3-1)*$D$4)*V171+(2004+3*$D$4-$A171)/((3-1)*$D$4)*W171</f>
        <v>0</v>
      </c>
      <c r="AJ171" s="5">
        <f>($A171-2007)/((3-1)*$D$4)*W171+(2007+3*$D$4-$A171)/((3-1)*$D$4)*X171</f>
        <v>0</v>
      </c>
      <c r="AK171" s="5">
        <f>($A171-2010)/((3-1)*$D$4)*X171+(2010+3*$D$4-$A171)/((3-1)*$D$4)*Y171</f>
        <v>0.5</v>
      </c>
      <c r="AL171" s="5">
        <f>($A171-2013)/((3-1)*$D$4)*Y171+(2013+3*$D$4-$A171)/((3-1)*$D$4)*Z171</f>
        <v>0.5</v>
      </c>
      <c r="AM171" s="5">
        <f>($A171-2016)/((3-1)*$D$4)*Z171+(2016+3*$D$4-$A171)/((3-1)*$D$4)*AA171</f>
        <v>0</v>
      </c>
      <c r="AN171" s="5">
        <f>($A171-2019)/((3-1)*$D$4)*AA171+(2019+3*$D$4-$A171)/((3-1)*$D$4)*AB171</f>
        <v>0</v>
      </c>
      <c r="AO171" s="5">
        <f>($A171-1986)/((4-1)*$D$4)*AC171+(1986+4*$D$4-$A171)/((4-1)*$D$4)*AD171</f>
        <v>0</v>
      </c>
      <c r="AP171" s="5">
        <f>($A171-1989)/((4-1)*$D$4)*AD171+(1989+4*$D$4-$A171)/((4-1)*$D$4)*AE171</f>
        <v>0</v>
      </c>
      <c r="AQ171" s="5">
        <f>($A171-1992)/((4-1)*$D$4)*AE171+(1992+4*$D$4-$A171)/((4-1)*$D$4)*AF171</f>
        <v>0</v>
      </c>
      <c r="AR171" s="5">
        <f>($A171-1995)/((4-1)*$D$4)*AF171+(1995+4*$D$4-$A171)/((4-1)*$D$4)*AG171</f>
        <v>0</v>
      </c>
      <c r="AS171" s="5">
        <f>($A171-1998)/((4-1)*$D$4)*AG171+(1998+4*$D$4-$A171)/((4-1)*$D$4)*AH171</f>
        <v>0</v>
      </c>
      <c r="AT171" s="5">
        <f>($A171-2001)/((4-1)*$D$4)*AH171+(2001+4*$D$4-$A171)/((4-1)*$D$4)*AI171</f>
        <v>0</v>
      </c>
      <c r="AU171" s="5">
        <f>($A171-2004)/((4-1)*$D$4)*AI171+(2004+4*$D$4-$A171)/((4-1)*$D$4)*AJ171</f>
        <v>0</v>
      </c>
      <c r="AV171" s="5">
        <f>($A171-2007)/((4-1)*$D$4)*AJ171+(2007+4*$D$4-$A171)/((4-1)*$D$4)*AK171</f>
        <v>0.16666666666666666</v>
      </c>
      <c r="AW171" s="5">
        <f>($A171-2010)/((4-1)*$D$4)*AK171+(2010+4*$D$4-$A171)/((4-1)*$D$4)*AL171</f>
        <v>0.66666666666666663</v>
      </c>
      <c r="AX171" s="5">
        <f>($A171-2013)/((4-1)*$D$4)*AL171+(2013+4*$D$4-$A171)/((4-1)*$D$4)*AM171</f>
        <v>0.16666666666666666</v>
      </c>
      <c r="AY171" s="5">
        <f>($A171-2016)/((4-1)*$D$4)*AM171+(2016+4*$D$4-$A171)/((4-1)*$D$4)*AN171</f>
        <v>0</v>
      </c>
    </row>
    <row r="172">
      <c r="A172" s="3" t="n">
        <v>2017</v>
      </c>
      <c r="B172" s="5">
        <f>IF(AND($A172&gt;=1986,$A172&lt;1989),1,0)</f>
        <v>0</v>
      </c>
      <c r="C172" s="5">
        <f>IF(AND($A172&gt;=1989,$A172&lt;1992),1,0)</f>
        <v>0</v>
      </c>
      <c r="D172" s="5">
        <f>IF(AND($A172&gt;=1992,$A172&lt;1995),1,0)</f>
        <v>0</v>
      </c>
      <c r="E172" s="5">
        <f>IF(AND($A172&gt;=1995,$A172&lt;1998),1,0)</f>
        <v>0</v>
      </c>
      <c r="F172" s="5">
        <f>IF(AND($A172&gt;=1998,$A172&lt;2001),1,0)</f>
        <v>0</v>
      </c>
      <c r="G172" s="5">
        <f>IF(AND($A172&gt;=2001,$A172&lt;2004),1,0)</f>
        <v>0</v>
      </c>
      <c r="H172" s="5">
        <f>IF(AND($A172&gt;=2004,$A172&lt;2007),1,0)</f>
        <v>0</v>
      </c>
      <c r="I172" s="5">
        <f>IF(AND($A172&gt;=2007,$A172&lt;2010),1,0)</f>
        <v>0</v>
      </c>
      <c r="J172" s="5">
        <f>IF(AND($A172&gt;=2010,$A172&lt;2013),1,0)</f>
        <v>0</v>
      </c>
      <c r="K172" s="5">
        <f>IF(AND($A172&gt;=2013,$A172&lt;2016),1,0)</f>
        <v>0</v>
      </c>
      <c r="L172" s="5">
        <f>IF(AND($A172&gt;=2016,$A172&lt;2019),1,0)</f>
        <v>1</v>
      </c>
      <c r="M172" s="5">
        <f>IF(AND($A172&gt;=2019,$A172&lt;2022),1,0)</f>
        <v>0</v>
      </c>
      <c r="N172" s="5">
        <f>IF(AND($A172&gt;=2022,$A172&lt;2025),1,0)</f>
        <v>0</v>
      </c>
      <c r="O172" s="5">
        <f>IF(AND($A172&gt;=2025,$A172&lt;2028),1,0)</f>
        <v>0</v>
      </c>
      <c r="P172" s="5">
        <f>($A172-1986)/((2-1)*$D$4)*B172+(1986+2*$D$4-$A172)/((2-1)*$D$4)*C172</f>
        <v>0</v>
      </c>
      <c r="Q172" s="5">
        <f>($A172-1989)/((2-1)*$D$4)*C172+(1989+2*$D$4-$A172)/((2-1)*$D$4)*D172</f>
        <v>0</v>
      </c>
      <c r="R172" s="5">
        <f>($A172-1992)/((2-1)*$D$4)*D172+(1992+2*$D$4-$A172)/((2-1)*$D$4)*E172</f>
        <v>0</v>
      </c>
      <c r="S172" s="5">
        <f>($A172-1995)/((2-1)*$D$4)*E172+(1995+2*$D$4-$A172)/((2-1)*$D$4)*F172</f>
        <v>0</v>
      </c>
      <c r="T172" s="5">
        <f>($A172-1998)/((2-1)*$D$4)*F172+(1998+2*$D$4-$A172)/((2-1)*$D$4)*G172</f>
        <v>0</v>
      </c>
      <c r="U172" s="5">
        <f>($A172-2001)/((2-1)*$D$4)*G172+(2001+2*$D$4-$A172)/((2-1)*$D$4)*H172</f>
        <v>0</v>
      </c>
      <c r="V172" s="5">
        <f>($A172-2004)/((2-1)*$D$4)*H172+(2004+2*$D$4-$A172)/((2-1)*$D$4)*I172</f>
        <v>0</v>
      </c>
      <c r="W172" s="5">
        <f>($A172-2007)/((2-1)*$D$4)*I172+(2007+2*$D$4-$A172)/((2-1)*$D$4)*J172</f>
        <v>0</v>
      </c>
      <c r="X172" s="5">
        <f>($A172-2010)/((2-1)*$D$4)*J172+(2010+2*$D$4-$A172)/((2-1)*$D$4)*K172</f>
        <v>0</v>
      </c>
      <c r="Y172" s="5">
        <f>($A172-2013)/((2-1)*$D$4)*K172+(2013+2*$D$4-$A172)/((2-1)*$D$4)*L172</f>
        <v>0.66666666666666663</v>
      </c>
      <c r="Z172" s="5">
        <f>($A172-2016)/((2-1)*$D$4)*L172+(2016+2*$D$4-$A172)/((2-1)*$D$4)*M172</f>
        <v>0.33333333333333331</v>
      </c>
      <c r="AA172" s="5">
        <f>($A172-2019)/((2-1)*$D$4)*M172+(2019+2*$D$4-$A172)/((2-1)*$D$4)*N172</f>
        <v>0</v>
      </c>
      <c r="AB172" s="5">
        <f>($A172-2022)/((2-1)*$D$4)*N172+(2022+2*$D$4-$A172)/((2-1)*$D$4)*O172</f>
        <v>0</v>
      </c>
      <c r="AC172" s="5">
        <f>($A172-1986)/((3-1)*$D$4)*P172+(1986+3*$D$4-$A172)/((3-1)*$D$4)*Q172</f>
        <v>0</v>
      </c>
      <c r="AD172" s="5">
        <f>($A172-1989)/((3-1)*$D$4)*Q172+(1989+3*$D$4-$A172)/((3-1)*$D$4)*R172</f>
        <v>0</v>
      </c>
      <c r="AE172" s="5">
        <f>($A172-1992)/((3-1)*$D$4)*R172+(1992+3*$D$4-$A172)/((3-1)*$D$4)*S172</f>
        <v>0</v>
      </c>
      <c r="AF172" s="5">
        <f>($A172-1995)/((3-1)*$D$4)*S172+(1995+3*$D$4-$A172)/((3-1)*$D$4)*T172</f>
        <v>0</v>
      </c>
      <c r="AG172" s="5">
        <f>($A172-1998)/((3-1)*$D$4)*T172+(1998+3*$D$4-$A172)/((3-1)*$D$4)*U172</f>
        <v>0</v>
      </c>
      <c r="AH172" s="5">
        <f>($A172-2001)/((3-1)*$D$4)*U172+(2001+3*$D$4-$A172)/((3-1)*$D$4)*V172</f>
        <v>0</v>
      </c>
      <c r="AI172" s="5">
        <f>($A172-2004)/((3-1)*$D$4)*V172+(2004+3*$D$4-$A172)/((3-1)*$D$4)*W172</f>
        <v>0</v>
      </c>
      <c r="AJ172" s="5">
        <f>($A172-2007)/((3-1)*$D$4)*W172+(2007+3*$D$4-$A172)/((3-1)*$D$4)*X172</f>
        <v>0</v>
      </c>
      <c r="AK172" s="5">
        <f>($A172-2010)/((3-1)*$D$4)*X172+(2010+3*$D$4-$A172)/((3-1)*$D$4)*Y172</f>
        <v>0.22222222222222221</v>
      </c>
      <c r="AL172" s="5">
        <f>($A172-2013)/((3-1)*$D$4)*Y172+(2013+3*$D$4-$A172)/((3-1)*$D$4)*Z172</f>
        <v>0.72222222222222221</v>
      </c>
      <c r="AM172" s="5">
        <f>($A172-2016)/((3-1)*$D$4)*Z172+(2016+3*$D$4-$A172)/((3-1)*$D$4)*AA172</f>
        <v>0.055555555555555552</v>
      </c>
      <c r="AN172" s="5">
        <f>($A172-2019)/((3-1)*$D$4)*AA172+(2019+3*$D$4-$A172)/((3-1)*$D$4)*AB172</f>
        <v>0</v>
      </c>
      <c r="AO172" s="5">
        <f>($A172-1986)/((4-1)*$D$4)*AC172+(1986+4*$D$4-$A172)/((4-1)*$D$4)*AD172</f>
        <v>0</v>
      </c>
      <c r="AP172" s="5">
        <f>($A172-1989)/((4-1)*$D$4)*AD172+(1989+4*$D$4-$A172)/((4-1)*$D$4)*AE172</f>
        <v>0</v>
      </c>
      <c r="AQ172" s="5">
        <f>($A172-1992)/((4-1)*$D$4)*AE172+(1992+4*$D$4-$A172)/((4-1)*$D$4)*AF172</f>
        <v>0</v>
      </c>
      <c r="AR172" s="5">
        <f>($A172-1995)/((4-1)*$D$4)*AF172+(1995+4*$D$4-$A172)/((4-1)*$D$4)*AG172</f>
        <v>0</v>
      </c>
      <c r="AS172" s="5">
        <f>($A172-1998)/((4-1)*$D$4)*AG172+(1998+4*$D$4-$A172)/((4-1)*$D$4)*AH172</f>
        <v>0</v>
      </c>
      <c r="AT172" s="5">
        <f>($A172-2001)/((4-1)*$D$4)*AH172+(2001+4*$D$4-$A172)/((4-1)*$D$4)*AI172</f>
        <v>0</v>
      </c>
      <c r="AU172" s="5">
        <f>($A172-2004)/((4-1)*$D$4)*AI172+(2004+4*$D$4-$A172)/((4-1)*$D$4)*AJ172</f>
        <v>0</v>
      </c>
      <c r="AV172" s="5">
        <f>($A172-2007)/((4-1)*$D$4)*AJ172+(2007+4*$D$4-$A172)/((4-1)*$D$4)*AK172</f>
        <v>0.049382716049382713</v>
      </c>
      <c r="AW172" s="5">
        <f>($A172-2010)/((4-1)*$D$4)*AK172+(2010+4*$D$4-$A172)/((4-1)*$D$4)*AL172</f>
        <v>0.57407407407407407</v>
      </c>
      <c r="AX172" s="5">
        <f>($A172-2013)/((4-1)*$D$4)*AL172+(2013+4*$D$4-$A172)/((4-1)*$D$4)*AM172</f>
        <v>0.37037037037037035</v>
      </c>
      <c r="AY172" s="5">
        <f>($A172-2016)/((4-1)*$D$4)*AM172+(2016+4*$D$4-$A172)/((4-1)*$D$4)*AN172</f>
        <v>0.0061728395061728392</v>
      </c>
    </row>
    <row r="173">
      <c r="A173" s="3" t="n">
        <v>2018</v>
      </c>
      <c r="B173" s="5">
        <f>IF(AND($A173&gt;=1986,$A173&lt;1989),1,0)</f>
        <v>0</v>
      </c>
      <c r="C173" s="5">
        <f>IF(AND($A173&gt;=1989,$A173&lt;1992),1,0)</f>
        <v>0</v>
      </c>
      <c r="D173" s="5">
        <f>IF(AND($A173&gt;=1992,$A173&lt;1995),1,0)</f>
        <v>0</v>
      </c>
      <c r="E173" s="5">
        <f>IF(AND($A173&gt;=1995,$A173&lt;1998),1,0)</f>
        <v>0</v>
      </c>
      <c r="F173" s="5">
        <f>IF(AND($A173&gt;=1998,$A173&lt;2001),1,0)</f>
        <v>0</v>
      </c>
      <c r="G173" s="5">
        <f>IF(AND($A173&gt;=2001,$A173&lt;2004),1,0)</f>
        <v>0</v>
      </c>
      <c r="H173" s="5">
        <f>IF(AND($A173&gt;=2004,$A173&lt;2007),1,0)</f>
        <v>0</v>
      </c>
      <c r="I173" s="5">
        <f>IF(AND($A173&gt;=2007,$A173&lt;2010),1,0)</f>
        <v>0</v>
      </c>
      <c r="J173" s="5">
        <f>IF(AND($A173&gt;=2010,$A173&lt;2013),1,0)</f>
        <v>0</v>
      </c>
      <c r="K173" s="5">
        <f>IF(AND($A173&gt;=2013,$A173&lt;2016),1,0)</f>
        <v>0</v>
      </c>
      <c r="L173" s="5">
        <f>IF(AND($A173&gt;=2016,$A173&lt;2019),1,0)</f>
        <v>1</v>
      </c>
      <c r="M173" s="5">
        <f>IF(AND($A173&gt;=2019,$A173&lt;2022),1,0)</f>
        <v>0</v>
      </c>
      <c r="N173" s="5">
        <f>IF(AND($A173&gt;=2022,$A173&lt;2025),1,0)</f>
        <v>0</v>
      </c>
      <c r="O173" s="5">
        <f>IF(AND($A173&gt;=2025,$A173&lt;2028),1,0)</f>
        <v>0</v>
      </c>
      <c r="P173" s="5">
        <f>($A173-1986)/((2-1)*$D$4)*B173+(1986+2*$D$4-$A173)/((2-1)*$D$4)*C173</f>
        <v>0</v>
      </c>
      <c r="Q173" s="5">
        <f>($A173-1989)/((2-1)*$D$4)*C173+(1989+2*$D$4-$A173)/((2-1)*$D$4)*D173</f>
        <v>0</v>
      </c>
      <c r="R173" s="5">
        <f>($A173-1992)/((2-1)*$D$4)*D173+(1992+2*$D$4-$A173)/((2-1)*$D$4)*E173</f>
        <v>0</v>
      </c>
      <c r="S173" s="5">
        <f>($A173-1995)/((2-1)*$D$4)*E173+(1995+2*$D$4-$A173)/((2-1)*$D$4)*F173</f>
        <v>0</v>
      </c>
      <c r="T173" s="5">
        <f>($A173-1998)/((2-1)*$D$4)*F173+(1998+2*$D$4-$A173)/((2-1)*$D$4)*G173</f>
        <v>0</v>
      </c>
      <c r="U173" s="5">
        <f>($A173-2001)/((2-1)*$D$4)*G173+(2001+2*$D$4-$A173)/((2-1)*$D$4)*H173</f>
        <v>0</v>
      </c>
      <c r="V173" s="5">
        <f>($A173-2004)/((2-1)*$D$4)*H173+(2004+2*$D$4-$A173)/((2-1)*$D$4)*I173</f>
        <v>0</v>
      </c>
      <c r="W173" s="5">
        <f>($A173-2007)/((2-1)*$D$4)*I173+(2007+2*$D$4-$A173)/((2-1)*$D$4)*J173</f>
        <v>0</v>
      </c>
      <c r="X173" s="5">
        <f>($A173-2010)/((2-1)*$D$4)*J173+(2010+2*$D$4-$A173)/((2-1)*$D$4)*K173</f>
        <v>0</v>
      </c>
      <c r="Y173" s="5">
        <f>($A173-2013)/((2-1)*$D$4)*K173+(2013+2*$D$4-$A173)/((2-1)*$D$4)*L173</f>
        <v>0.33333333333333331</v>
      </c>
      <c r="Z173" s="5">
        <f>($A173-2016)/((2-1)*$D$4)*L173+(2016+2*$D$4-$A173)/((2-1)*$D$4)*M173</f>
        <v>0.66666666666666663</v>
      </c>
      <c r="AA173" s="5">
        <f>($A173-2019)/((2-1)*$D$4)*M173+(2019+2*$D$4-$A173)/((2-1)*$D$4)*N173</f>
        <v>0</v>
      </c>
      <c r="AB173" s="5">
        <f>($A173-2022)/((2-1)*$D$4)*N173+(2022+2*$D$4-$A173)/((2-1)*$D$4)*O173</f>
        <v>0</v>
      </c>
      <c r="AC173" s="5">
        <f>($A173-1986)/((3-1)*$D$4)*P173+(1986+3*$D$4-$A173)/((3-1)*$D$4)*Q173</f>
        <v>0</v>
      </c>
      <c r="AD173" s="5">
        <f>($A173-1989)/((3-1)*$D$4)*Q173+(1989+3*$D$4-$A173)/((3-1)*$D$4)*R173</f>
        <v>0</v>
      </c>
      <c r="AE173" s="5">
        <f>($A173-1992)/((3-1)*$D$4)*R173+(1992+3*$D$4-$A173)/((3-1)*$D$4)*S173</f>
        <v>0</v>
      </c>
      <c r="AF173" s="5">
        <f>($A173-1995)/((3-1)*$D$4)*S173+(1995+3*$D$4-$A173)/((3-1)*$D$4)*T173</f>
        <v>0</v>
      </c>
      <c r="AG173" s="5">
        <f>($A173-1998)/((3-1)*$D$4)*T173+(1998+3*$D$4-$A173)/((3-1)*$D$4)*U173</f>
        <v>0</v>
      </c>
      <c r="AH173" s="5">
        <f>($A173-2001)/((3-1)*$D$4)*U173+(2001+3*$D$4-$A173)/((3-1)*$D$4)*V173</f>
        <v>0</v>
      </c>
      <c r="AI173" s="5">
        <f>($A173-2004)/((3-1)*$D$4)*V173+(2004+3*$D$4-$A173)/((3-1)*$D$4)*W173</f>
        <v>0</v>
      </c>
      <c r="AJ173" s="5">
        <f>($A173-2007)/((3-1)*$D$4)*W173+(2007+3*$D$4-$A173)/((3-1)*$D$4)*X173</f>
        <v>0</v>
      </c>
      <c r="AK173" s="5">
        <f>($A173-2010)/((3-1)*$D$4)*X173+(2010+3*$D$4-$A173)/((3-1)*$D$4)*Y173</f>
        <v>0.055555555555555552</v>
      </c>
      <c r="AL173" s="5">
        <f>($A173-2013)/((3-1)*$D$4)*Y173+(2013+3*$D$4-$A173)/((3-1)*$D$4)*Z173</f>
        <v>0.72222222222222221</v>
      </c>
      <c r="AM173" s="5">
        <f>($A173-2016)/((3-1)*$D$4)*Z173+(2016+3*$D$4-$A173)/((3-1)*$D$4)*AA173</f>
        <v>0.22222222222222221</v>
      </c>
      <c r="AN173" s="5">
        <f>($A173-2019)/((3-1)*$D$4)*AA173+(2019+3*$D$4-$A173)/((3-1)*$D$4)*AB173</f>
        <v>0</v>
      </c>
      <c r="AO173" s="5">
        <f>($A173-1986)/((4-1)*$D$4)*AC173+(1986+4*$D$4-$A173)/((4-1)*$D$4)*AD173</f>
        <v>0</v>
      </c>
      <c r="AP173" s="5">
        <f>($A173-1989)/((4-1)*$D$4)*AD173+(1989+4*$D$4-$A173)/((4-1)*$D$4)*AE173</f>
        <v>0</v>
      </c>
      <c r="AQ173" s="5">
        <f>($A173-1992)/((4-1)*$D$4)*AE173+(1992+4*$D$4-$A173)/((4-1)*$D$4)*AF173</f>
        <v>0</v>
      </c>
      <c r="AR173" s="5">
        <f>($A173-1995)/((4-1)*$D$4)*AF173+(1995+4*$D$4-$A173)/((4-1)*$D$4)*AG173</f>
        <v>0</v>
      </c>
      <c r="AS173" s="5">
        <f>($A173-1998)/((4-1)*$D$4)*AG173+(1998+4*$D$4-$A173)/((4-1)*$D$4)*AH173</f>
        <v>0</v>
      </c>
      <c r="AT173" s="5">
        <f>($A173-2001)/((4-1)*$D$4)*AH173+(2001+4*$D$4-$A173)/((4-1)*$D$4)*AI173</f>
        <v>0</v>
      </c>
      <c r="AU173" s="5">
        <f>($A173-2004)/((4-1)*$D$4)*AI173+(2004+4*$D$4-$A173)/((4-1)*$D$4)*AJ173</f>
        <v>0</v>
      </c>
      <c r="AV173" s="5">
        <f>($A173-2007)/((4-1)*$D$4)*AJ173+(2007+4*$D$4-$A173)/((4-1)*$D$4)*AK173</f>
        <v>0.0061728395061728392</v>
      </c>
      <c r="AW173" s="5">
        <f>($A173-2010)/((4-1)*$D$4)*AK173+(2010+4*$D$4-$A173)/((4-1)*$D$4)*AL173</f>
        <v>0.37037037037037035</v>
      </c>
      <c r="AX173" s="5">
        <f>($A173-2013)/((4-1)*$D$4)*AL173+(2013+4*$D$4-$A173)/((4-1)*$D$4)*AM173</f>
        <v>0.57407407407407407</v>
      </c>
      <c r="AY173" s="5">
        <f>($A173-2016)/((4-1)*$D$4)*AM173+(2016+4*$D$4-$A173)/((4-1)*$D$4)*AN173</f>
        <v>0.049382716049382713</v>
      </c>
    </row>
    <row r="174">
      <c r="A174" s="3" t="n">
        <v>2019</v>
      </c>
      <c r="B174" s="5">
        <f>IF(AND($A174&gt;=1986,$A174&lt;1989),1,0)</f>
        <v>0</v>
      </c>
      <c r="C174" s="5">
        <f>IF(AND($A174&gt;=1989,$A174&lt;1992),1,0)</f>
        <v>0</v>
      </c>
      <c r="D174" s="5">
        <f>IF(AND($A174&gt;=1992,$A174&lt;1995),1,0)</f>
        <v>0</v>
      </c>
      <c r="E174" s="5">
        <f>IF(AND($A174&gt;=1995,$A174&lt;1998),1,0)</f>
        <v>0</v>
      </c>
      <c r="F174" s="5">
        <f>IF(AND($A174&gt;=1998,$A174&lt;2001),1,0)</f>
        <v>0</v>
      </c>
      <c r="G174" s="5">
        <f>IF(AND($A174&gt;=2001,$A174&lt;2004),1,0)</f>
        <v>0</v>
      </c>
      <c r="H174" s="5">
        <f>IF(AND($A174&gt;=2004,$A174&lt;2007),1,0)</f>
        <v>0</v>
      </c>
      <c r="I174" s="5">
        <f>IF(AND($A174&gt;=2007,$A174&lt;2010),1,0)</f>
        <v>0</v>
      </c>
      <c r="J174" s="5">
        <f>IF(AND($A174&gt;=2010,$A174&lt;2013),1,0)</f>
        <v>0</v>
      </c>
      <c r="K174" s="5">
        <f>IF(AND($A174&gt;=2013,$A174&lt;2016),1,0)</f>
        <v>0</v>
      </c>
      <c r="L174" s="5">
        <f>IF(AND($A174&gt;=2016,$A174&lt;2019),1,0)</f>
        <v>0</v>
      </c>
      <c r="M174" s="5">
        <f>IF(AND($A174&gt;=2019,$A174&lt;2022),1,0)</f>
        <v>1</v>
      </c>
      <c r="N174" s="5">
        <f>IF(AND($A174&gt;=2022,$A174&lt;2025),1,0)</f>
        <v>0</v>
      </c>
      <c r="O174" s="5">
        <f>IF(AND($A174&gt;=2025,$A174&lt;2028),1,0)</f>
        <v>0</v>
      </c>
      <c r="P174" s="5">
        <f>($A174-1986)/((2-1)*$D$4)*B174+(1986+2*$D$4-$A174)/((2-1)*$D$4)*C174</f>
        <v>0</v>
      </c>
      <c r="Q174" s="5">
        <f>($A174-1989)/((2-1)*$D$4)*C174+(1989+2*$D$4-$A174)/((2-1)*$D$4)*D174</f>
        <v>0</v>
      </c>
      <c r="R174" s="5">
        <f>($A174-1992)/((2-1)*$D$4)*D174+(1992+2*$D$4-$A174)/((2-1)*$D$4)*E174</f>
        <v>0</v>
      </c>
      <c r="S174" s="5">
        <f>($A174-1995)/((2-1)*$D$4)*E174+(1995+2*$D$4-$A174)/((2-1)*$D$4)*F174</f>
        <v>0</v>
      </c>
      <c r="T174" s="5">
        <f>($A174-1998)/((2-1)*$D$4)*F174+(1998+2*$D$4-$A174)/((2-1)*$D$4)*G174</f>
        <v>0</v>
      </c>
      <c r="U174" s="5">
        <f>($A174-2001)/((2-1)*$D$4)*G174+(2001+2*$D$4-$A174)/((2-1)*$D$4)*H174</f>
        <v>0</v>
      </c>
      <c r="V174" s="5">
        <f>($A174-2004)/((2-1)*$D$4)*H174+(2004+2*$D$4-$A174)/((2-1)*$D$4)*I174</f>
        <v>0</v>
      </c>
      <c r="W174" s="5">
        <f>($A174-2007)/((2-1)*$D$4)*I174+(2007+2*$D$4-$A174)/((2-1)*$D$4)*J174</f>
        <v>0</v>
      </c>
      <c r="X174" s="5">
        <f>($A174-2010)/((2-1)*$D$4)*J174+(2010+2*$D$4-$A174)/((2-1)*$D$4)*K174</f>
        <v>0</v>
      </c>
      <c r="Y174" s="5">
        <f>($A174-2013)/((2-1)*$D$4)*K174+(2013+2*$D$4-$A174)/((2-1)*$D$4)*L174</f>
        <v>0</v>
      </c>
      <c r="Z174" s="5">
        <f>($A174-2016)/((2-1)*$D$4)*L174+(2016+2*$D$4-$A174)/((2-1)*$D$4)*M174</f>
        <v>1</v>
      </c>
      <c r="AA174" s="5">
        <f>($A174-2019)/((2-1)*$D$4)*M174+(2019+2*$D$4-$A174)/((2-1)*$D$4)*N174</f>
        <v>0</v>
      </c>
      <c r="AB174" s="5">
        <f>($A174-2022)/((2-1)*$D$4)*N174+(2022+2*$D$4-$A174)/((2-1)*$D$4)*O174</f>
        <v>0</v>
      </c>
      <c r="AC174" s="5">
        <f>($A174-1986)/((3-1)*$D$4)*P174+(1986+3*$D$4-$A174)/((3-1)*$D$4)*Q174</f>
        <v>0</v>
      </c>
      <c r="AD174" s="5">
        <f>($A174-1989)/((3-1)*$D$4)*Q174+(1989+3*$D$4-$A174)/((3-1)*$D$4)*R174</f>
        <v>0</v>
      </c>
      <c r="AE174" s="5">
        <f>($A174-1992)/((3-1)*$D$4)*R174+(1992+3*$D$4-$A174)/((3-1)*$D$4)*S174</f>
        <v>0</v>
      </c>
      <c r="AF174" s="5">
        <f>($A174-1995)/((3-1)*$D$4)*S174+(1995+3*$D$4-$A174)/((3-1)*$D$4)*T174</f>
        <v>0</v>
      </c>
      <c r="AG174" s="5">
        <f>($A174-1998)/((3-1)*$D$4)*T174+(1998+3*$D$4-$A174)/((3-1)*$D$4)*U174</f>
        <v>0</v>
      </c>
      <c r="AH174" s="5">
        <f>($A174-2001)/((3-1)*$D$4)*U174+(2001+3*$D$4-$A174)/((3-1)*$D$4)*V174</f>
        <v>0</v>
      </c>
      <c r="AI174" s="5">
        <f>($A174-2004)/((3-1)*$D$4)*V174+(2004+3*$D$4-$A174)/((3-1)*$D$4)*W174</f>
        <v>0</v>
      </c>
      <c r="AJ174" s="5">
        <f>($A174-2007)/((3-1)*$D$4)*W174+(2007+3*$D$4-$A174)/((3-1)*$D$4)*X174</f>
        <v>0</v>
      </c>
      <c r="AK174" s="5">
        <f>($A174-2010)/((3-1)*$D$4)*X174+(2010+3*$D$4-$A174)/((3-1)*$D$4)*Y174</f>
        <v>0</v>
      </c>
      <c r="AL174" s="5">
        <f>($A174-2013)/((3-1)*$D$4)*Y174+(2013+3*$D$4-$A174)/((3-1)*$D$4)*Z174</f>
        <v>0.5</v>
      </c>
      <c r="AM174" s="5">
        <f>($A174-2016)/((3-1)*$D$4)*Z174+(2016+3*$D$4-$A174)/((3-1)*$D$4)*AA174</f>
        <v>0.5</v>
      </c>
      <c r="AN174" s="5">
        <f>($A174-2019)/((3-1)*$D$4)*AA174+(2019+3*$D$4-$A174)/((3-1)*$D$4)*AB174</f>
        <v>0</v>
      </c>
      <c r="AO174" s="5">
        <f>($A174-1986)/((4-1)*$D$4)*AC174+(1986+4*$D$4-$A174)/((4-1)*$D$4)*AD174</f>
        <v>0</v>
      </c>
      <c r="AP174" s="5">
        <f>($A174-1989)/((4-1)*$D$4)*AD174+(1989+4*$D$4-$A174)/((4-1)*$D$4)*AE174</f>
        <v>0</v>
      </c>
      <c r="AQ174" s="5">
        <f>($A174-1992)/((4-1)*$D$4)*AE174+(1992+4*$D$4-$A174)/((4-1)*$D$4)*AF174</f>
        <v>0</v>
      </c>
      <c r="AR174" s="5">
        <f>($A174-1995)/((4-1)*$D$4)*AF174+(1995+4*$D$4-$A174)/((4-1)*$D$4)*AG174</f>
        <v>0</v>
      </c>
      <c r="AS174" s="5">
        <f>($A174-1998)/((4-1)*$D$4)*AG174+(1998+4*$D$4-$A174)/((4-1)*$D$4)*AH174</f>
        <v>0</v>
      </c>
      <c r="AT174" s="5">
        <f>($A174-2001)/((4-1)*$D$4)*AH174+(2001+4*$D$4-$A174)/((4-1)*$D$4)*AI174</f>
        <v>0</v>
      </c>
      <c r="AU174" s="5">
        <f>($A174-2004)/((4-1)*$D$4)*AI174+(2004+4*$D$4-$A174)/((4-1)*$D$4)*AJ174</f>
        <v>0</v>
      </c>
      <c r="AV174" s="5">
        <f>($A174-2007)/((4-1)*$D$4)*AJ174+(2007+4*$D$4-$A174)/((4-1)*$D$4)*AK174</f>
        <v>0</v>
      </c>
      <c r="AW174" s="5">
        <f>($A174-2010)/((4-1)*$D$4)*AK174+(2010+4*$D$4-$A174)/((4-1)*$D$4)*AL174</f>
        <v>0.16666666666666666</v>
      </c>
      <c r="AX174" s="5">
        <f>($A174-2013)/((4-1)*$D$4)*AL174+(2013+4*$D$4-$A174)/((4-1)*$D$4)*AM174</f>
        <v>0.66666666666666663</v>
      </c>
      <c r="AY174" s="5">
        <f>($A174-2016)/((4-1)*$D$4)*AM174+(2016+4*$D$4-$A174)/((4-1)*$D$4)*AN174</f>
        <v>0.16666666666666666</v>
      </c>
    </row>
    <row r="175"/>
    <row r="176"/>
    <row r="177"/>
    <row r="178"/>
    <row r="179"/>
    <row r="180" ht="42" customHeight="1">
      <c r="A180" s="2" t="inlineStr">
        <is>
          <t>Projection rule: continue coefficient trends with Δ²theta=0, i.e. theta_j=2*theta_(j−1)−theta_(j−2), starting from the final two estimated coefficients. Then evaluate the same cubic basis sum to obtain log mortality and use EXP to recover the mortality rate. Penalty and SSE use estimated coefficients/training data only.</t>
        </is>
      </c>
    </row>
    <row r="181"/>
    <row r="182" ht="42" customHeight="1">
      <c r="A182" s="2" t="inlineStr">
        <is>
          <t>Formula locations: A8:F32 rates/residuals; H15:L25 coefficients and differences; rows 71 onward design matrix; rows 91 onward normal equations; rows 111 onward D₂; rows 150–174 Cox–de Boor orders 1–4. Full-precision values are retained.</t>
        </is>
      </c>
    </row>
    <row r="184" ht="42" customHeight="1">
      <c r="A184" s="2" t="inlineStr">
        <is>
          <t>Solver reproduction (optional, same objective): first copy fitted theta cells I15:I20 and paste VALUES in place; minimise I10 by changing only those fitted theta cells; GRG Nonlinear, automatic scaling, no constraints, unrestricted signs. The saved matrix formulas already solve this exact quadratic objective.</t>
        </is>
      </c>
    </row>
  </sheetData>
  <mergeCells count="5">
    <mergeCell ref="A184:N184"/>
    <mergeCell ref="A2:N2"/>
    <mergeCell ref="A180:N180"/>
    <mergeCell ref="A182:N182"/>
    <mergeCell ref="A5:N5"/>
  </mergeCells>
  <pageMargins left="0.75" right="0.75" top="1" bottom="1" header="0.5" footer="0.5"/>
  <pageSetup orientation="landscape" paperSize="8"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0"/>
    <pageSetUpPr fitToPage="1"/>
  </sheetPr>
  <dimension ref="A1:DK18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24"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Q2(c): M2 with annual knots</t>
        </is>
      </c>
    </row>
    <row r="2" ht="42" customHeight="1">
      <c r="A2" s="2" t="inlineStr">
        <is>
          <t>Fit only the stated training observations. Cubic B-splines have order 4 and support [t_j,t_j+4h). Observed/output rates are annual central death rates (per person-year). The response and fitted coefficients are on the natural-log mortality scale; knot locations are calendar years.</t>
        </is>
      </c>
    </row>
    <row r="3"/>
    <row r="4">
      <c r="A4" s="3" t="inlineStr">
        <is>
          <t>lambda</t>
        </is>
      </c>
      <c r="B4" s="3" t="n">
        <v>1</v>
      </c>
      <c r="C4" s="3" t="inlineStr">
        <is>
          <t>Knot step h</t>
        </is>
      </c>
      <c r="D4" s="3" t="n">
        <v>1</v>
      </c>
    </row>
    <row r="5" ht="42" customHeight="1">
      <c r="A5" s="2" t="inlineStr">
        <is>
          <t>Log-scale objective: L=SSE+(lambda/2)*SUM((theta_j−2*theta_(j−1)+theta_(j−2))^2). Normal equations: [BᵀB+(lambda/2)D₂ᵀD₂]theta=BᵀLN(m). SSE=SUM((LN(m)−B*theta)^2). No nonnegativity constraint, tuning, or extra penalty is used.</t>
        </is>
      </c>
    </row>
    <row r="6"/>
    <row r="7" ht="34" customHeight="1">
      <c r="A7" s="6" t="inlineStr">
        <is>
          <t>Year</t>
        </is>
      </c>
      <c r="B7" s="6" t="inlineStr">
        <is>
          <t>Observed rate</t>
        </is>
      </c>
      <c r="C7" s="6" t="inlineStr">
        <is>
          <t>Fitted / projected</t>
        </is>
      </c>
      <c r="D7" s="6" t="inlineStr">
        <is>
          <t>Period</t>
        </is>
      </c>
      <c r="E7" s="6" t="inlineStr">
        <is>
          <t>Training residual</t>
        </is>
      </c>
      <c r="F7" s="6" t="inlineStr">
        <is>
          <t>Log residual²</t>
        </is>
      </c>
      <c r="G7" s="6" t="inlineStr">
        <is>
          <t>Fitted / projected LN(m)</t>
        </is>
      </c>
    </row>
    <row r="8" ht="31" customHeight="1">
      <c r="A8" s="4" t="n">
        <v>1995</v>
      </c>
      <c r="B8" s="5">
        <f>'M_70_t'!B2</f>
        <v>0.00085662921497227005</v>
      </c>
      <c r="C8" s="5">
        <f>EXP(G8)</f>
        <v>0.00084301756115736227</v>
      </c>
      <c r="D8" s="3" t="inlineStr">
        <is>
          <t>Fitted</t>
        </is>
      </c>
      <c r="E8" s="5">
        <f>LN(B8)-G8</f>
        <v>0.016017380808776238</v>
      </c>
      <c r="F8" s="5">
        <f>E8^2</f>
        <v>0.00025655648797335336</v>
      </c>
      <c r="G8" s="5">
        <f t="array" ref="G8">MMULT(CK150:DK150,$I$15:$I$41)</f>
        <v>-7.0785227684387531</v>
      </c>
      <c r="H8" s="7" t="inlineStr">
        <is>
          <t>SSE</t>
        </is>
      </c>
      <c r="I8" s="8">
        <f>SUM(F8:F17)</f>
        <v>0.052886242634524447</v>
      </c>
    </row>
    <row r="9" ht="31" customHeight="1">
      <c r="A9" s="4" t="n">
        <v>1996</v>
      </c>
      <c r="B9" s="5">
        <f>'M_70_t'!B3</f>
        <v>0.00082999932605467902</v>
      </c>
      <c r="C9" s="5">
        <f>EXP(G9)</f>
        <v>0.00084087504779950279</v>
      </c>
      <c r="D9" s="3" t="inlineStr">
        <is>
          <t>Fitted</t>
        </is>
      </c>
      <c r="E9" s="5">
        <f>LN(B9)-G9</f>
        <v>-0.013018184382725728</v>
      </c>
      <c r="F9" s="5">
        <f>E9^2</f>
        <v>0.00016947312462264405</v>
      </c>
      <c r="G9" s="5">
        <f t="array" ref="G9">MMULT(CK151:DK151,$I$15:$I$41)</f>
        <v>-7.0810674847735493</v>
      </c>
      <c r="H9" s="7" t="inlineStr">
        <is>
          <t>Penalty (estimated theta only)</t>
        </is>
      </c>
      <c r="I9" s="8">
        <f>SUM(K17:K26)</f>
        <v>0.012804923645663636</v>
      </c>
    </row>
    <row r="10" ht="31" customHeight="1">
      <c r="A10" s="4" t="n">
        <v>1997</v>
      </c>
      <c r="B10" s="5">
        <f>'M_70_t'!B4</f>
        <v>0.00080999953267954299</v>
      </c>
      <c r="C10" s="5">
        <f>EXP(G10)</f>
        <v>0.0008578278505390137</v>
      </c>
      <c r="D10" s="3" t="inlineStr">
        <is>
          <t>Fitted</t>
        </is>
      </c>
      <c r="E10" s="5">
        <f>LN(B10)-G10</f>
        <v>-0.057369768232082841</v>
      </c>
      <c r="F10" s="5">
        <f>E10^2</f>
        <v>0.0032912903070029015</v>
      </c>
      <c r="G10" s="5">
        <f t="array" ref="G10">MMULT(CK152:DK152,$I$15:$I$41)</f>
        <v>-7.061107119004709</v>
      </c>
      <c r="H10" s="7" t="inlineStr">
        <is>
          <t>L = SSE + lambda/2*Penalty</t>
        </is>
      </c>
      <c r="I10" s="8">
        <f>I8+$B$4/2*I9</f>
        <v>0.059288704457356262</v>
      </c>
    </row>
    <row r="11">
      <c r="A11" s="4" t="n">
        <v>1998</v>
      </c>
      <c r="B11" s="5">
        <f>'M_70_t'!B5</f>
        <v>0.00097750974418243496</v>
      </c>
      <c r="C11" s="5">
        <f>EXP(G11)</f>
        <v>0.00088477982094816083</v>
      </c>
      <c r="D11" s="3" t="inlineStr">
        <is>
          <t>Fitted</t>
        </is>
      </c>
      <c r="E11" s="5">
        <f>LN(B11)-G11</f>
        <v>0.099669436117407528</v>
      </c>
      <c r="F11" s="5">
        <f>E11^2</f>
        <v>0.0099339964959619803</v>
      </c>
      <c r="G11" s="5">
        <f t="array" ref="G11">MMULT(CK153:DK153,$I$15:$I$41)</f>
        <v>-7.0301717337987668</v>
      </c>
    </row>
    <row r="12">
      <c r="A12" s="4" t="n">
        <v>1999</v>
      </c>
      <c r="B12" s="5">
        <f>'M_70_t'!B6</f>
        <v>0.00078849179100953001</v>
      </c>
      <c r="C12" s="5">
        <f>EXP(G12)</f>
        <v>0.00088983282502081676</v>
      </c>
      <c r="D12" s="3" t="inlineStr">
        <is>
          <t>Fitted</t>
        </is>
      </c>
      <c r="E12" s="5">
        <f>LN(B12)-G12</f>
        <v>-0.12091161257313399</v>
      </c>
      <c r="F12" s="5">
        <f>E12^2</f>
        <v>0.014619618055035652</v>
      </c>
      <c r="G12" s="5">
        <f t="array" ref="G12">MMULT(CK154:DK154,$I$15:$I$41)</f>
        <v>-7.0244769499369397</v>
      </c>
    </row>
    <row r="13">
      <c r="A13" s="4" t="n">
        <v>2000</v>
      </c>
      <c r="B13" s="5">
        <f>'M_70_t'!B7</f>
        <v>0.00099667191302858196</v>
      </c>
      <c r="C13" s="5">
        <f>EXP(G13)</f>
        <v>0.00086510201614561325</v>
      </c>
      <c r="D13" s="3" t="inlineStr">
        <is>
          <t>Fitted</t>
        </is>
      </c>
      <c r="E13" s="5">
        <f>LN(B13)-G13</f>
        <v>0.14157420389267994</v>
      </c>
      <c r="F13" s="5">
        <f>E13^2</f>
        <v>0.020043255207846111</v>
      </c>
      <c r="G13" s="5">
        <f t="array" ref="G13">MMULT(CK155:DK155,$I$15:$I$41)</f>
        <v>-7.05266312024591</v>
      </c>
    </row>
    <row r="14" ht="34" customHeight="1">
      <c r="A14" s="9" t="n">
        <v>2001</v>
      </c>
      <c r="B14" s="10">
        <f>'M_70_t'!B8</f>
        <v>0.00075112817897161302</v>
      </c>
      <c r="C14" s="10">
        <f>EXP(G14)</f>
        <v>0.00079031772554067996</v>
      </c>
      <c r="D14" s="6" t="inlineStr">
        <is>
          <t>Fitted</t>
        </is>
      </c>
      <c r="E14" s="10">
        <f>LN(B14)-G14</f>
        <v>-0.050858733909844744</v>
      </c>
      <c r="F14" s="10">
        <f>E14^2</f>
        <v>0.0025866108149123915</v>
      </c>
      <c r="G14" s="10">
        <f t="array" ref="G14">MMULT(CK156:DK156,$I$15:$I$41)</f>
        <v>-7.1430755091288969</v>
      </c>
      <c r="H14" s="6" t="inlineStr">
        <is>
          <t>Coefficient knot</t>
        </is>
      </c>
      <c r="I14" s="6" t="inlineStr">
        <is>
          <t>theta</t>
        </is>
      </c>
      <c r="J14" s="6" t="inlineStr">
        <is>
          <t>Second difference</t>
        </is>
      </c>
      <c r="K14" s="6" t="inlineStr">
        <is>
          <t>Squared difference</t>
        </is>
      </c>
      <c r="L14" s="6" t="inlineStr">
        <is>
          <t>Status</t>
        </is>
      </c>
    </row>
    <row r="15">
      <c r="A15" s="4" t="n">
        <v>2002</v>
      </c>
      <c r="B15" s="5">
        <f>'M_70_t'!B9</f>
        <v>0.00070428750137965703</v>
      </c>
      <c r="C15" s="5">
        <f>EXP(G15)</f>
        <v>0.00070765399908639167</v>
      </c>
      <c r="D15" s="3" t="inlineStr">
        <is>
          <t>Fitted</t>
        </is>
      </c>
      <c r="E15" s="5">
        <f>LN(B15)-G15</f>
        <v>-0.0047686169505638532</v>
      </c>
      <c r="F15" s="5">
        <f>E15^2</f>
        <v>2.2739707621204901e-05</v>
      </c>
      <c r="G15" s="5">
        <f t="array" ref="G15">MMULT(CK157:DK157,$I$15:$I$41)</f>
        <v>-7.2535552855796048</v>
      </c>
      <c r="H15" s="3" t="n">
        <v>1992</v>
      </c>
      <c r="I15" s="8">
        <f t="array" ref="I15">INDEX(MMULT(MINVERSE($C$91:$N$102),$P$91:$P$102),1,1)</f>
        <v>-7.0678027396759004</v>
      </c>
      <c r="L15" s="3" t="inlineStr">
        <is>
          <t>Estimated</t>
        </is>
      </c>
    </row>
    <row r="16">
      <c r="A16" s="4" t="n">
        <v>2003</v>
      </c>
      <c r="B16" s="5">
        <f>'M_70_t'!B10</f>
        <v>0.00062560881810524603</v>
      </c>
      <c r="C16" s="5">
        <f>EXP(G16)</f>
        <v>0.00064858287658078363</v>
      </c>
      <c r="D16" s="3" t="inlineStr">
        <is>
          <t>Fitted</t>
        </is>
      </c>
      <c r="E16" s="5">
        <f>LN(B16)-G16</f>
        <v>-0.036064508371510762</v>
      </c>
      <c r="F16" s="5">
        <f>E16^2</f>
        <v>0.0013006487640787698</v>
      </c>
      <c r="G16" s="5">
        <f t="array" ref="G16">MMULT(CK158:DK158,$I$15:$I$41)</f>
        <v>-7.3407207650242272</v>
      </c>
      <c r="H16" s="3" t="n">
        <v>1993</v>
      </c>
      <c r="I16" s="8">
        <f t="array" ref="I16">INDEX(MMULT(MINVERSE($C$91:$N$102),$P$91:$P$102),2,1)</f>
        <v>-7.07941262292813</v>
      </c>
      <c r="L16" s="3" t="inlineStr">
        <is>
          <t>Estimated</t>
        </is>
      </c>
    </row>
    <row r="17">
      <c r="A17" s="4" t="n">
        <v>2004</v>
      </c>
      <c r="B17" s="5">
        <f>'M_70_t'!B11</f>
        <v>0.00063014139456242795</v>
      </c>
      <c r="C17" s="5">
        <f>EXP(G17)</f>
        <v>0.00061413441824851775</v>
      </c>
      <c r="D17" s="3" t="inlineStr">
        <is>
          <t>Fitted</t>
        </is>
      </c>
      <c r="E17" s="5">
        <f>LN(B17)-G17</f>
        <v>0.025730403600982221</v>
      </c>
      <c r="F17" s="5">
        <f>E17^2</f>
        <v>0.00066205366946943888</v>
      </c>
      <c r="G17" s="5">
        <f t="array" ref="G17">MMULT(CK159:DK159,$I$15:$I$41)</f>
        <v>-7.3952967315482496</v>
      </c>
      <c r="H17" s="3" t="n">
        <v>1994</v>
      </c>
      <c r="I17" s="8">
        <f t="array" ref="I17">INDEX(MMULT(MINVERSE($C$91:$N$102),$P$91:$P$102),3,1)</f>
        <v>-7.0856833792441023</v>
      </c>
      <c r="J17" s="5">
        <f>I17-2*I16+I15</f>
        <v>0.0053391269362572658</v>
      </c>
      <c r="K17" s="5">
        <f>J17^2</f>
        <v>2.8506276441467896e-05</v>
      </c>
      <c r="L17" s="3" t="inlineStr">
        <is>
          <t>Estimated</t>
        </is>
      </c>
    </row>
    <row r="18">
      <c r="A18" s="4" t="n">
        <v>2005</v>
      </c>
      <c r="B18" s="5">
        <f>'M_70_t'!B12</f>
        <v>0.000583834238658234</v>
      </c>
      <c r="C18" s="5">
        <f>EXP(G18)</f>
        <v>0.00058870719909535723</v>
      </c>
      <c r="D18" s="3" t="inlineStr">
        <is>
          <t>Projected</t>
        </is>
      </c>
      <c r="G18" s="5">
        <f t="array" ref="G18">MMULT(CK160:DK160,$I$15:$I$41)</f>
        <v>-7.4375816132034753</v>
      </c>
      <c r="H18" s="3" t="n">
        <v>1995</v>
      </c>
      <c r="I18" s="8">
        <f t="array" ref="I18">INDEX(MMULT(MINVERSE($C$91:$N$102),$P$91:$P$102),4,1)</f>
        <v>-7.0642587687367602</v>
      </c>
      <c r="J18" s="5">
        <f>I18-2*I17+I16</f>
        <v>0.027695366823314416</v>
      </c>
      <c r="K18" s="5">
        <f>J18^2</f>
        <v>0.00076703334347794484</v>
      </c>
      <c r="L18" s="3" t="inlineStr">
        <is>
          <t>Estimated</t>
        </is>
      </c>
    </row>
    <row r="19">
      <c r="A19" s="4" t="n">
        <v>2006</v>
      </c>
      <c r="B19" s="5">
        <f>'M_70_t'!B13</f>
        <v>0.00049907284917174999</v>
      </c>
      <c r="C19" s="5">
        <f>EXP(G19)</f>
        <v>0.0005651400236847434</v>
      </c>
      <c r="D19" s="3" t="inlineStr">
        <is>
          <t>Projected</t>
        </is>
      </c>
      <c r="G19" s="5">
        <f t="array" ref="G19">MMULT(CK161:DK161,$I$15:$I$41)</f>
        <v>-7.478437027991979</v>
      </c>
      <c r="H19" s="3" t="n">
        <v>1996</v>
      </c>
      <c r="I19" s="8">
        <f t="array" ref="I19">INDEX(MMULT(MINVERSE($C$91:$N$102),$P$91:$P$102),5,1)</f>
        <v>-7.0239242598371145</v>
      </c>
      <c r="J19" s="5">
        <f>I19-2*I18+I17</f>
        <v>0.018909898392303504</v>
      </c>
      <c r="K19" s="5">
        <f>J19^2</f>
        <v>0.00035758425720724263</v>
      </c>
      <c r="L19" s="3" t="inlineStr">
        <is>
          <t>Estimated</t>
        </is>
      </c>
    </row>
    <row r="20">
      <c r="A20" s="4" t="n">
        <v>2007</v>
      </c>
      <c r="B20" s="5">
        <f>'M_70_t'!B14</f>
        <v>0.00056241539734553498</v>
      </c>
      <c r="C20" s="5">
        <f>EXP(G20)</f>
        <v>0.00054251629139438968</v>
      </c>
      <c r="D20" s="3" t="inlineStr">
        <is>
          <t>Projected</t>
        </is>
      </c>
      <c r="G20" s="5">
        <f t="array" ref="G20">MMULT(CK162:DK162,$I$15:$I$41)</f>
        <v>-7.5192924427804844</v>
      </c>
      <c r="H20" s="3" t="n">
        <v>1997</v>
      </c>
      <c r="I20" s="8">
        <f t="array" ref="I20">INDEX(MMULT(MINVERSE($C$91:$N$102),$P$91:$P$102),6,1)</f>
        <v>-7.0210745947073852</v>
      </c>
      <c r="J20" s="5">
        <f>I20-2*I19+I18</f>
        <v>-0.037484843769916232</v>
      </c>
      <c r="K20" s="5">
        <f>J20^2</f>
        <v>0.0014051135124550278</v>
      </c>
      <c r="L20" s="3" t="inlineStr">
        <is>
          <t>Estimated</t>
        </is>
      </c>
    </row>
    <row r="21">
      <c r="A21" s="4" t="n">
        <v>2008</v>
      </c>
      <c r="B21" s="5">
        <f>'M_70_t'!B15</f>
        <v>0.00056619807714629496</v>
      </c>
      <c r="C21" s="5">
        <f>EXP(G21)</f>
        <v>0.00052079823423107556</v>
      </c>
      <c r="D21" s="3" t="inlineStr">
        <is>
          <t>Projected</t>
        </is>
      </c>
      <c r="G21" s="5">
        <f t="array" ref="G21">MMULT(CK163:DK163,$I$15:$I$41)</f>
        <v>-7.5601478575689889</v>
      </c>
      <c r="H21" s="3" t="n">
        <v>1998</v>
      </c>
      <c r="I21" s="8">
        <f t="array" ref="I21">INDEX(MMULT(MINVERSE($C$91:$N$102),$P$91:$P$102),7,1)</f>
        <v>-7.038639060954984</v>
      </c>
      <c r="J21" s="5">
        <f>I21-2*I20+I19</f>
        <v>-0.020414131377328282</v>
      </c>
      <c r="K21" s="5">
        <f>J21^2</f>
        <v>0.00041673675989081907</v>
      </c>
      <c r="L21" s="3" t="inlineStr">
        <is>
          <t>Estimated</t>
        </is>
      </c>
    </row>
    <row r="22">
      <c r="A22" s="4" t="n">
        <v>2009</v>
      </c>
      <c r="B22" s="5">
        <f>'M_70_t'!B16</f>
        <v>0.00054060671904999295</v>
      </c>
      <c r="C22" s="5">
        <f>EXP(G22)</f>
        <v>0.00049994959613301553</v>
      </c>
      <c r="D22" s="3" t="inlineStr">
        <is>
          <t>Projected</t>
        </is>
      </c>
      <c r="G22" s="5">
        <f t="array" ref="G22">MMULT(CK164:DK164,$I$15:$I$41)</f>
        <v>-7.6010032723574925</v>
      </c>
      <c r="H22" s="3" t="n">
        <v>1999</v>
      </c>
      <c r="I22" s="8">
        <f t="array" ref="I22">INDEX(MMULT(MINVERSE($C$91:$N$102),$P$91:$P$102),8,1)</f>
        <v>-7.1403478829481406</v>
      </c>
      <c r="J22" s="5">
        <f>I22-2*I21+I20</f>
        <v>-0.084144355745557675</v>
      </c>
      <c r="K22" s="5">
        <f>J22^2</f>
        <v>0.007080272603834965</v>
      </c>
      <c r="L22" s="3" t="inlineStr">
        <is>
          <t>Estimated</t>
        </is>
      </c>
    </row>
    <row r="23">
      <c r="A23" s="4" t="n">
        <v>2010</v>
      </c>
      <c r="B23" s="5">
        <f>'M_70_t'!B17</f>
        <v>0.000485007361502359</v>
      </c>
      <c r="C23" s="5">
        <f>EXP(G23)</f>
        <v>0.00047993557244409448</v>
      </c>
      <c r="D23" s="3" t="inlineStr">
        <is>
          <t>Projected</t>
        </is>
      </c>
      <c r="G23" s="5">
        <f t="array" ref="G23">MMULT(CK165:DK165,$I$15:$I$41)</f>
        <v>-7.6418586871459979</v>
      </c>
      <c r="H23" s="3" t="n">
        <v>2000</v>
      </c>
      <c r="I23" s="8">
        <f t="array" ref="I23">INDEX(MMULT(MINVERSE($C$91:$N$102),$P$91:$P$102),9,1)</f>
        <v>-7.2584224620258384</v>
      </c>
      <c r="J23" s="5">
        <f>I23-2*I22+I21</f>
        <v>-0.016365757084541244</v>
      </c>
      <c r="K23" s="5">
        <f>J23^2</f>
        <v>0.0002678380049502119</v>
      </c>
      <c r="L23" s="3" t="inlineStr">
        <is>
          <t>Estimated</t>
        </is>
      </c>
    </row>
    <row r="24">
      <c r="A24" s="4" t="n">
        <v>2011</v>
      </c>
      <c r="B24" s="5">
        <f>'M_70_t'!B18</f>
        <v>0.00052495861425407497</v>
      </c>
      <c r="C24" s="5">
        <f>EXP(G24)</f>
        <v>0.00046072275181107981</v>
      </c>
      <c r="D24" s="3" t="inlineStr">
        <is>
          <t>Projected</t>
        </is>
      </c>
      <c r="G24" s="5">
        <f t="array" ref="G24">MMULT(CK166:DK166,$I$15:$I$41)</f>
        <v>-7.6827141019345024</v>
      </c>
      <c r="H24" s="3" t="n">
        <v>2001</v>
      </c>
      <c r="I24" s="8">
        <f t="array" ref="I24">INDEX(MMULT(MINVERSE($C$91:$N$102),$P$91:$P$102),10,1)</f>
        <v>-7.3472939824261383</v>
      </c>
      <c r="J24" s="5">
        <f>I24-2*I23+I22</f>
        <v>0.029203058677397919</v>
      </c>
      <c r="K24" s="5">
        <f>J24^2</f>
        <v>0.00085281863611554596</v>
      </c>
      <c r="L24" s="3" t="inlineStr">
        <is>
          <t>Estimated</t>
        </is>
      </c>
    </row>
    <row r="25">
      <c r="A25" s="4" t="n">
        <v>2012</v>
      </c>
      <c r="B25" s="5">
        <f>'M_70_t'!B19</f>
        <v>0.00044495933160701001</v>
      </c>
      <c r="C25" s="5">
        <f>EXP(G25)</f>
        <v>0.00044227906040680045</v>
      </c>
      <c r="D25" s="3" t="inlineStr">
        <is>
          <t>Projected</t>
        </is>
      </c>
      <c r="G25" s="5">
        <f t="array" ref="G25">MMULT(CK167:DK167,$I$15:$I$41)</f>
        <v>-7.7235695167230061</v>
      </c>
      <c r="H25" s="3" t="n">
        <v>2002</v>
      </c>
      <c r="I25" s="8">
        <f t="array" ref="I25">INDEX(MMULT(MINVERSE($C$91:$N$102),$P$91:$P$102),11,1)</f>
        <v>-7.3967261984149708</v>
      </c>
      <c r="J25" s="5">
        <f>I25-2*I24+I23</f>
        <v>0.039439304411467369</v>
      </c>
      <c r="K25" s="5">
        <f>J25^2</f>
        <v>0.0015554587324603894</v>
      </c>
      <c r="L25" s="3" t="inlineStr">
        <is>
          <t>Estimated</t>
        </is>
      </c>
    </row>
    <row r="26">
      <c r="A26" s="4" t="n">
        <v>2013</v>
      </c>
      <c r="B26" s="5">
        <f>'M_70_t'!B20</f>
        <v>0.00041112307243118301</v>
      </c>
      <c r="C26" s="5">
        <f>EXP(G26)</f>
        <v>0.00042457370838619327</v>
      </c>
      <c r="D26" s="3" t="inlineStr">
        <is>
          <t>Projected</t>
        </is>
      </c>
      <c r="G26" s="5">
        <f t="array" ref="G26">MMULT(CK168:DK168,$I$15:$I$41)</f>
        <v>-7.7644249315115115</v>
      </c>
      <c r="H26" s="3" t="n">
        <v>2003</v>
      </c>
      <c r="I26" s="8">
        <f t="array" ref="I26">INDEX(MMULT(MINVERSE($C$91:$N$102),$P$91:$P$102),12,1)</f>
        <v>-7.4375816132034753</v>
      </c>
      <c r="J26" s="5">
        <f>I26-2*I25+I24</f>
        <v>0.0085768012003279992</v>
      </c>
      <c r="K26" s="5">
        <f>J26^2</f>
        <v>7.3561518829947804e-05</v>
      </c>
      <c r="L26" s="3" t="inlineStr">
        <is>
          <t>Estimated</t>
        </is>
      </c>
    </row>
    <row r="27">
      <c r="A27" s="4" t="n">
        <v>2014</v>
      </c>
      <c r="B27" s="5">
        <f>'M_70_t'!B21</f>
        <v>0.00044881581519445602</v>
      </c>
      <c r="C27" s="5">
        <f>EXP(G27)</f>
        <v>0.00040757713848582812</v>
      </c>
      <c r="D27" s="3" t="inlineStr">
        <is>
          <t>Projected</t>
        </is>
      </c>
      <c r="G27" s="5">
        <f t="array" ref="G27">MMULT(CK169:DK169,$I$15:$I$41)</f>
        <v>-7.805280346300016</v>
      </c>
      <c r="H27" s="3" t="n">
        <v>2004</v>
      </c>
      <c r="I27" s="8">
        <f>2*I26-I25</f>
        <v>-7.4784370279919798</v>
      </c>
      <c r="J27" s="5">
        <f>I27-2*I26+I25</f>
        <v>0</v>
      </c>
      <c r="K27" s="5">
        <f>J27^2</f>
        <v>0</v>
      </c>
      <c r="L27" s="3" t="inlineStr">
        <is>
          <t>Projected: Δ²theta=0</t>
        </is>
      </c>
    </row>
    <row r="28">
      <c r="A28" s="4" t="n">
        <v>2015</v>
      </c>
      <c r="B28" s="5">
        <f>'M_70_t'!B22</f>
        <v>0.00040681103089843998</v>
      </c>
      <c r="C28" s="5">
        <f>EXP(G28)</f>
        <v>0.00039126097668109423</v>
      </c>
      <c r="D28" s="3" t="inlineStr">
        <is>
          <t>Projected</t>
        </is>
      </c>
      <c r="G28" s="5">
        <f t="array" ref="G28">MMULT(CK170:DK170,$I$15:$I$41)</f>
        <v>-7.8461357610885196</v>
      </c>
      <c r="H28" s="3" t="n">
        <v>2005</v>
      </c>
      <c r="I28" s="8">
        <f>2*I27-I26</f>
        <v>-7.5192924427804844</v>
      </c>
      <c r="J28" s="5">
        <f>I28-2*I27+I26</f>
        <v>0</v>
      </c>
      <c r="K28" s="5">
        <f>J28^2</f>
        <v>0</v>
      </c>
      <c r="L28" s="3" t="inlineStr">
        <is>
          <t>Projected: Δ²theta=0</t>
        </is>
      </c>
    </row>
    <row r="29">
      <c r="A29" s="4" t="n">
        <v>2016</v>
      </c>
      <c r="B29" s="5">
        <f>'M_70_t'!B23</f>
        <v>0.00049105417911107405</v>
      </c>
      <c r="C29" s="5">
        <f>EXP(G29)</f>
        <v>0.00037559798481868583</v>
      </c>
      <c r="D29" s="3" t="inlineStr">
        <is>
          <t>Projected</t>
        </is>
      </c>
      <c r="G29" s="5">
        <f t="array" ref="G29">MMULT(CK171:DK171,$I$15:$I$41)</f>
        <v>-7.886991175877025</v>
      </c>
      <c r="H29" s="3" t="n">
        <v>2006</v>
      </c>
      <c r="I29" s="8">
        <f>2*I28-I27</f>
        <v>-7.5601478575689889</v>
      </c>
      <c r="J29" s="5">
        <f>I29-2*I28+I27</f>
        <v>0</v>
      </c>
      <c r="K29" s="5">
        <f>J29^2</f>
        <v>0</v>
      </c>
      <c r="L29" s="3" t="inlineStr">
        <is>
          <t>Projected: Δ²theta=0</t>
        </is>
      </c>
    </row>
    <row r="30">
      <c r="A30" s="4" t="n">
        <v>2017</v>
      </c>
      <c r="B30" s="5">
        <f>'M_70_t'!B24</f>
        <v>0.000460024326747511</v>
      </c>
      <c r="C30" s="5">
        <f>EXP(G30)</f>
        <v>0.00036056201514531098</v>
      </c>
      <c r="D30" s="3" t="inlineStr">
        <is>
          <t>Projected</t>
        </is>
      </c>
      <c r="G30" s="5">
        <f t="array" ref="G30">MMULT(CK172:DK172,$I$15:$I$41)</f>
        <v>-7.9278465906655295</v>
      </c>
      <c r="H30" s="3" t="n">
        <v>2007</v>
      </c>
      <c r="I30" s="8">
        <f>2*I29-I28</f>
        <v>-7.6010032723574934</v>
      </c>
      <c r="J30" s="5">
        <f>I30-2*I29+I28</f>
        <v>0</v>
      </c>
      <c r="K30" s="5">
        <f>J30^2</f>
        <v>0</v>
      </c>
      <c r="L30" s="3" t="inlineStr">
        <is>
          <t>Projected: Δ²theta=0</t>
        </is>
      </c>
    </row>
    <row r="31">
      <c r="A31" s="4" t="n">
        <v>2018</v>
      </c>
      <c r="B31" s="5">
        <f>'M_70_t'!B25</f>
        <v>0.000416641795239238</v>
      </c>
      <c r="C31" s="5">
        <f>EXP(G31)</f>
        <v>0.00034612796665670477</v>
      </c>
      <c r="D31" s="3" t="inlineStr">
        <is>
          <t>Projected</t>
        </is>
      </c>
      <c r="G31" s="5">
        <f t="array" ref="G31">MMULT(CK173:DK173,$I$15:$I$41)</f>
        <v>-7.9687020054540332</v>
      </c>
      <c r="H31" s="3" t="n">
        <v>2008</v>
      </c>
      <c r="I31" s="8">
        <f>2*I30-I29</f>
        <v>-7.6418586871459979</v>
      </c>
      <c r="J31" s="5">
        <f>I31-2*I30+I29</f>
        <v>0</v>
      </c>
      <c r="K31" s="5">
        <f>J31^2</f>
        <v>0</v>
      </c>
      <c r="L31" s="3" t="inlineStr">
        <is>
          <t>Projected: Δ²theta=0</t>
        </is>
      </c>
    </row>
    <row r="32">
      <c r="A32" s="4" t="n">
        <v>2019</v>
      </c>
      <c r="B32" s="5">
        <f>'M_70_t'!B26</f>
        <v>0.00044343997079208703</v>
      </c>
      <c r="C32" s="5">
        <f>EXP(G32)</f>
        <v>0.00033227174319408546</v>
      </c>
      <c r="D32" s="3" t="inlineStr">
        <is>
          <t>Projected</t>
        </is>
      </c>
      <c r="G32" s="5">
        <f t="array" ref="G32">MMULT(CK174:DK174,$I$15:$I$41)</f>
        <v>-8.0095574202425386</v>
      </c>
      <c r="H32" s="3" t="n">
        <v>2009</v>
      </c>
      <c r="I32" s="8">
        <f>2*I31-I30</f>
        <v>-7.6827141019345024</v>
      </c>
      <c r="J32" s="5">
        <f>I32-2*I31+I30</f>
        <v>0</v>
      </c>
      <c r="K32" s="5">
        <f>J32^2</f>
        <v>0</v>
      </c>
      <c r="L32" s="3" t="inlineStr">
        <is>
          <t>Projected: Δ²theta=0</t>
        </is>
      </c>
    </row>
    <row r="33">
      <c r="H33" s="3" t="n">
        <v>2010</v>
      </c>
      <c r="I33" s="8">
        <f>2*I32-I31</f>
        <v>-7.723569516723007</v>
      </c>
      <c r="J33" s="5">
        <f>I33-2*I32+I31</f>
        <v>0</v>
      </c>
      <c r="K33" s="5">
        <f>J33^2</f>
        <v>0</v>
      </c>
      <c r="L33" s="3" t="inlineStr">
        <is>
          <t>Projected: Δ²theta=0</t>
        </is>
      </c>
    </row>
    <row r="34">
      <c r="H34" s="3" t="n">
        <v>2011</v>
      </c>
      <c r="I34" s="8">
        <f>2*I33-I32</f>
        <v>-7.7644249315115115</v>
      </c>
      <c r="J34" s="5">
        <f>I34-2*I33+I32</f>
        <v>0</v>
      </c>
      <c r="K34" s="5">
        <f>J34^2</f>
        <v>0</v>
      </c>
      <c r="L34" s="3" t="inlineStr">
        <is>
          <t>Projected: Δ²theta=0</t>
        </is>
      </c>
    </row>
    <row r="35">
      <c r="H35" s="3" t="n">
        <v>2012</v>
      </c>
      <c r="I35" s="8">
        <f>2*I34-I33</f>
        <v>-7.805280346300016</v>
      </c>
      <c r="J35" s="5">
        <f>I35-2*I34+I33</f>
        <v>0</v>
      </c>
      <c r="K35" s="5">
        <f>J35^2</f>
        <v>0</v>
      </c>
      <c r="L35" s="3" t="inlineStr">
        <is>
          <t>Projected: Δ²theta=0</t>
        </is>
      </c>
    </row>
    <row r="36">
      <c r="H36" s="3" t="n">
        <v>2013</v>
      </c>
      <c r="I36" s="8">
        <f>2*I35-I34</f>
        <v>-7.8461357610885205</v>
      </c>
      <c r="J36" s="5">
        <f>I36-2*I35+I34</f>
        <v>0</v>
      </c>
      <c r="K36" s="5">
        <f>J36^2</f>
        <v>0</v>
      </c>
      <c r="L36" s="3" t="inlineStr">
        <is>
          <t>Projected: Δ²theta=0</t>
        </is>
      </c>
    </row>
    <row r="37">
      <c r="H37" s="3" t="n">
        <v>2014</v>
      </c>
      <c r="I37" s="8">
        <f>2*I36-I35</f>
        <v>-7.886991175877025</v>
      </c>
      <c r="J37" s="5">
        <f>I37-2*I36+I35</f>
        <v>0</v>
      </c>
      <c r="K37" s="5">
        <f>J37^2</f>
        <v>0</v>
      </c>
      <c r="L37" s="3" t="inlineStr">
        <is>
          <t>Projected: Δ²theta=0</t>
        </is>
      </c>
    </row>
    <row r="38">
      <c r="H38" s="3" t="n">
        <v>2015</v>
      </c>
      <c r="I38" s="8">
        <f>2*I37-I36</f>
        <v>-7.9278465906655295</v>
      </c>
      <c r="J38" s="5">
        <f>I38-2*I37+I36</f>
        <v>0</v>
      </c>
      <c r="K38" s="5">
        <f>J38^2</f>
        <v>0</v>
      </c>
      <c r="L38" s="3" t="inlineStr">
        <is>
          <t>Projected: Δ²theta=0</t>
        </is>
      </c>
    </row>
    <row r="39">
      <c r="H39" s="3" t="n">
        <v>2016</v>
      </c>
      <c r="I39" s="8">
        <f>2*I38-I37</f>
        <v>-7.9687020054540341</v>
      </c>
      <c r="J39" s="5">
        <f>I39-2*I38+I37</f>
        <v>0</v>
      </c>
      <c r="K39" s="5">
        <f>J39^2</f>
        <v>0</v>
      </c>
      <c r="L39" s="3" t="inlineStr">
        <is>
          <t>Projected: Δ²theta=0</t>
        </is>
      </c>
    </row>
    <row r="40">
      <c r="H40" s="3" t="n">
        <v>2017</v>
      </c>
      <c r="I40" s="8">
        <f>2*I39-I38</f>
        <v>-8.0095574202425386</v>
      </c>
      <c r="J40" s="5">
        <f>I40-2*I39+I38</f>
        <v>0</v>
      </c>
      <c r="K40" s="5">
        <f>J40^2</f>
        <v>0</v>
      </c>
      <c r="L40" s="3" t="inlineStr">
        <is>
          <t>Projected: Δ²theta=0</t>
        </is>
      </c>
    </row>
    <row r="41">
      <c r="H41" s="3" t="n">
        <v>2018</v>
      </c>
      <c r="I41" s="8">
        <f>2*I40-I39</f>
        <v>-8.0504128350310431</v>
      </c>
      <c r="J41" s="5">
        <f>I41-2*I40+I39</f>
        <v>0</v>
      </c>
      <c r="K41" s="5">
        <f>J41^2</f>
        <v>0</v>
      </c>
      <c r="L41" s="3" t="inlineStr">
        <is>
          <t>Projected: Δ²theta=0</t>
        </is>
      </c>
    </row>
    <row r="42"/>
    <row r="43"/>
    <row r="44"/>
    <row r="45"/>
    <row r="46"/>
    <row r="47"/>
    <row r="48"/>
    <row r="49"/>
    <row r="50"/>
    <row r="51"/>
    <row r="52"/>
    <row r="53"/>
    <row r="54"/>
    <row r="55"/>
    <row r="56"/>
    <row r="57"/>
    <row r="58"/>
    <row r="59"/>
    <row r="60"/>
    <row r="61"/>
    <row r="62"/>
    <row r="63"/>
    <row r="64"/>
    <row r="65"/>
    <row r="66"/>
    <row r="67"/>
    <row r="68">
      <c r="A68" s="1" t="inlineStr">
        <is>
          <t>Training design matrix B and response y=LN(m) (training years only)</t>
        </is>
      </c>
    </row>
    <row r="69"/>
    <row r="70" ht="34" customHeight="1">
      <c r="A70" s="6" t="inlineStr">
        <is>
          <t>Training year</t>
        </is>
      </c>
      <c r="B70" s="6" t="inlineStr">
        <is>
          <t>y = LN(m)</t>
        </is>
      </c>
      <c r="C70" s="6" t="inlineStr">
        <is>
          <t>B1992,4</t>
        </is>
      </c>
      <c r="D70" s="6" t="inlineStr">
        <is>
          <t>B1993,4</t>
        </is>
      </c>
      <c r="E70" s="6" t="inlineStr">
        <is>
          <t>B1994,4</t>
        </is>
      </c>
      <c r="F70" s="6" t="inlineStr">
        <is>
          <t>B1995,4</t>
        </is>
      </c>
      <c r="G70" s="6" t="inlineStr">
        <is>
          <t>B1996,4</t>
        </is>
      </c>
      <c r="H70" s="6" t="inlineStr">
        <is>
          <t>B1997,4</t>
        </is>
      </c>
      <c r="I70" s="6" t="inlineStr">
        <is>
          <t>B1998,4</t>
        </is>
      </c>
      <c r="J70" s="6" t="inlineStr">
        <is>
          <t>B1999,4</t>
        </is>
      </c>
      <c r="K70" s="6" t="inlineStr">
        <is>
          <t>B2000,4</t>
        </is>
      </c>
      <c r="L70" s="6" t="inlineStr">
        <is>
          <t>B2001,4</t>
        </is>
      </c>
      <c r="M70" s="6" t="inlineStr">
        <is>
          <t>B2002,4</t>
        </is>
      </c>
      <c r="N70" s="6" t="inlineStr">
        <is>
          <t>B2003,4</t>
        </is>
      </c>
    </row>
    <row r="71">
      <c r="A71" s="3" t="n">
        <v>1995</v>
      </c>
      <c r="B71" s="5">
        <f>LN('M_70_t'!B2)</f>
        <v>-7.0625053876299768</v>
      </c>
      <c r="C71" s="5">
        <f>CK150</f>
        <v>0.16666666666666666</v>
      </c>
      <c r="D71" s="5">
        <f>CL150</f>
        <v>0.66666666666666663</v>
      </c>
      <c r="E71" s="5">
        <f>CM150</f>
        <v>0.16666666666666666</v>
      </c>
      <c r="F71" s="5">
        <f>CN150</f>
        <v>0</v>
      </c>
      <c r="G71" s="5">
        <f>CO150</f>
        <v>0</v>
      </c>
      <c r="H71" s="5">
        <f>CP150</f>
        <v>0</v>
      </c>
      <c r="I71" s="5">
        <f>CQ150</f>
        <v>0</v>
      </c>
      <c r="J71" s="5">
        <f>CR150</f>
        <v>0</v>
      </c>
      <c r="K71" s="5">
        <f>CS150</f>
        <v>0</v>
      </c>
      <c r="L71" s="5">
        <f>CT150</f>
        <v>0</v>
      </c>
      <c r="M71" s="5">
        <f>CU150</f>
        <v>0</v>
      </c>
      <c r="N71" s="5">
        <f>CV150</f>
        <v>0</v>
      </c>
    </row>
    <row r="72">
      <c r="A72" s="3" t="n">
        <v>1996</v>
      </c>
      <c r="B72" s="5">
        <f>LN('M_70_t'!B3)</f>
        <v>-7.094085669156275</v>
      </c>
      <c r="C72" s="5">
        <f>CK151</f>
        <v>0</v>
      </c>
      <c r="D72" s="5">
        <f>CL151</f>
        <v>0.16666666666666666</v>
      </c>
      <c r="E72" s="5">
        <f>CM151</f>
        <v>0.66666666666666663</v>
      </c>
      <c r="F72" s="5">
        <f>CN151</f>
        <v>0.16666666666666666</v>
      </c>
      <c r="G72" s="5">
        <f>CO151</f>
        <v>0</v>
      </c>
      <c r="H72" s="5">
        <f>CP151</f>
        <v>0</v>
      </c>
      <c r="I72" s="5">
        <f>CQ151</f>
        <v>0</v>
      </c>
      <c r="J72" s="5">
        <f>CR151</f>
        <v>0</v>
      </c>
      <c r="K72" s="5">
        <f>CS151</f>
        <v>0</v>
      </c>
      <c r="L72" s="5">
        <f>CT151</f>
        <v>0</v>
      </c>
      <c r="M72" s="5">
        <f>CU151</f>
        <v>0</v>
      </c>
      <c r="N72" s="5">
        <f>CV151</f>
        <v>0</v>
      </c>
    </row>
    <row r="73">
      <c r="A73" s="3" t="n">
        <v>1997</v>
      </c>
      <c r="B73" s="5">
        <f>LN('M_70_t'!B4)</f>
        <v>-7.1184768872367918</v>
      </c>
      <c r="C73" s="5">
        <f>CK152</f>
        <v>0</v>
      </c>
      <c r="D73" s="5">
        <f>CL152</f>
        <v>0</v>
      </c>
      <c r="E73" s="5">
        <f>CM152</f>
        <v>0.16666666666666666</v>
      </c>
      <c r="F73" s="5">
        <f>CN152</f>
        <v>0.66666666666666663</v>
      </c>
      <c r="G73" s="5">
        <f>CO152</f>
        <v>0.16666666666666666</v>
      </c>
      <c r="H73" s="5">
        <f>CP152</f>
        <v>0</v>
      </c>
      <c r="I73" s="5">
        <f>CQ152</f>
        <v>0</v>
      </c>
      <c r="J73" s="5">
        <f>CR152</f>
        <v>0</v>
      </c>
      <c r="K73" s="5">
        <f>CS152</f>
        <v>0</v>
      </c>
      <c r="L73" s="5">
        <f>CT152</f>
        <v>0</v>
      </c>
      <c r="M73" s="5">
        <f>CU152</f>
        <v>0</v>
      </c>
      <c r="N73" s="5">
        <f>CV152</f>
        <v>0</v>
      </c>
    </row>
    <row r="74">
      <c r="A74" s="3" t="n">
        <v>1998</v>
      </c>
      <c r="B74" s="5">
        <f>LN('M_70_t'!B5)</f>
        <v>-6.9305022976813593</v>
      </c>
      <c r="C74" s="5">
        <f>CK153</f>
        <v>0</v>
      </c>
      <c r="D74" s="5">
        <f>CL153</f>
        <v>0</v>
      </c>
      <c r="E74" s="5">
        <f>CM153</f>
        <v>0</v>
      </c>
      <c r="F74" s="5">
        <f>CN153</f>
        <v>0.16666666666666666</v>
      </c>
      <c r="G74" s="5">
        <f>CO153</f>
        <v>0.66666666666666663</v>
      </c>
      <c r="H74" s="5">
        <f>CP153</f>
        <v>0.16666666666666666</v>
      </c>
      <c r="I74" s="5">
        <f>CQ153</f>
        <v>0</v>
      </c>
      <c r="J74" s="5">
        <f>CR153</f>
        <v>0</v>
      </c>
      <c r="K74" s="5">
        <f>CS153</f>
        <v>0</v>
      </c>
      <c r="L74" s="5">
        <f>CT153</f>
        <v>0</v>
      </c>
      <c r="M74" s="5">
        <f>CU153</f>
        <v>0</v>
      </c>
      <c r="N74" s="5">
        <f>CV153</f>
        <v>0</v>
      </c>
    </row>
    <row r="75">
      <c r="A75" s="3" t="n">
        <v>1999</v>
      </c>
      <c r="B75" s="5">
        <f>LN('M_70_t'!B6)</f>
        <v>-7.1453885625100737</v>
      </c>
      <c r="C75" s="5">
        <f>CK154</f>
        <v>0</v>
      </c>
      <c r="D75" s="5">
        <f>CL154</f>
        <v>0</v>
      </c>
      <c r="E75" s="5">
        <f>CM154</f>
        <v>0</v>
      </c>
      <c r="F75" s="5">
        <f>CN154</f>
        <v>0</v>
      </c>
      <c r="G75" s="5">
        <f>CO154</f>
        <v>0.16666666666666666</v>
      </c>
      <c r="H75" s="5">
        <f>CP154</f>
        <v>0.66666666666666663</v>
      </c>
      <c r="I75" s="5">
        <f>CQ154</f>
        <v>0.16666666666666666</v>
      </c>
      <c r="J75" s="5">
        <f>CR154</f>
        <v>0</v>
      </c>
      <c r="K75" s="5">
        <f>CS154</f>
        <v>0</v>
      </c>
      <c r="L75" s="5">
        <f>CT154</f>
        <v>0</v>
      </c>
      <c r="M75" s="5">
        <f>CU154</f>
        <v>0</v>
      </c>
      <c r="N75" s="5">
        <f>CV154</f>
        <v>0</v>
      </c>
    </row>
    <row r="76">
      <c r="A76" s="3" t="n">
        <v>2000</v>
      </c>
      <c r="B76" s="5">
        <f>LN('M_70_t'!B7)</f>
        <v>-6.9110889163532301</v>
      </c>
      <c r="C76" s="5">
        <f>CK155</f>
        <v>0</v>
      </c>
      <c r="D76" s="5">
        <f>CL155</f>
        <v>0</v>
      </c>
      <c r="E76" s="5">
        <f>CM155</f>
        <v>0</v>
      </c>
      <c r="F76" s="5">
        <f>CN155</f>
        <v>0</v>
      </c>
      <c r="G76" s="5">
        <f>CO155</f>
        <v>0</v>
      </c>
      <c r="H76" s="5">
        <f>CP155</f>
        <v>0.16666666666666666</v>
      </c>
      <c r="I76" s="5">
        <f>CQ155</f>
        <v>0.66666666666666663</v>
      </c>
      <c r="J76" s="5">
        <f>CR155</f>
        <v>0.16666666666666666</v>
      </c>
      <c r="K76" s="5">
        <f>CS155</f>
        <v>0</v>
      </c>
      <c r="L76" s="5">
        <f>CT155</f>
        <v>0</v>
      </c>
      <c r="M76" s="5">
        <f>CU155</f>
        <v>0</v>
      </c>
      <c r="N76" s="5">
        <f>CV155</f>
        <v>0</v>
      </c>
    </row>
    <row r="77">
      <c r="A77" s="3" t="n">
        <v>2001</v>
      </c>
      <c r="B77" s="5">
        <f>LN('M_70_t'!B8)</f>
        <v>-7.1939342430387416</v>
      </c>
      <c r="C77" s="5">
        <f>CK156</f>
        <v>0</v>
      </c>
      <c r="D77" s="5">
        <f>CL156</f>
        <v>0</v>
      </c>
      <c r="E77" s="5">
        <f>CM156</f>
        <v>0</v>
      </c>
      <c r="F77" s="5">
        <f>CN156</f>
        <v>0</v>
      </c>
      <c r="G77" s="5">
        <f>CO156</f>
        <v>0</v>
      </c>
      <c r="H77" s="5">
        <f>CP156</f>
        <v>0</v>
      </c>
      <c r="I77" s="5">
        <f>CQ156</f>
        <v>0.16666666666666666</v>
      </c>
      <c r="J77" s="5">
        <f>CR156</f>
        <v>0.66666666666666663</v>
      </c>
      <c r="K77" s="5">
        <f>CS156</f>
        <v>0.16666666666666666</v>
      </c>
      <c r="L77" s="5">
        <f>CT156</f>
        <v>0</v>
      </c>
      <c r="M77" s="5">
        <f>CU156</f>
        <v>0</v>
      </c>
      <c r="N77" s="5">
        <f>CV156</f>
        <v>0</v>
      </c>
    </row>
    <row r="78">
      <c r="A78" s="3" t="n">
        <v>2002</v>
      </c>
      <c r="B78" s="5">
        <f>LN('M_70_t'!B9)</f>
        <v>-7.2583239025301687</v>
      </c>
      <c r="C78" s="5">
        <f>CK157</f>
        <v>0</v>
      </c>
      <c r="D78" s="5">
        <f>CL157</f>
        <v>0</v>
      </c>
      <c r="E78" s="5">
        <f>CM157</f>
        <v>0</v>
      </c>
      <c r="F78" s="5">
        <f>CN157</f>
        <v>0</v>
      </c>
      <c r="G78" s="5">
        <f>CO157</f>
        <v>0</v>
      </c>
      <c r="H78" s="5">
        <f>CP157</f>
        <v>0</v>
      </c>
      <c r="I78" s="5">
        <f>CQ157</f>
        <v>0</v>
      </c>
      <c r="J78" s="5">
        <f>CR157</f>
        <v>0.16666666666666666</v>
      </c>
      <c r="K78" s="5">
        <f>CS157</f>
        <v>0.66666666666666663</v>
      </c>
      <c r="L78" s="5">
        <f>CT157</f>
        <v>0.16666666666666666</v>
      </c>
      <c r="M78" s="5">
        <f>CU157</f>
        <v>0</v>
      </c>
      <c r="N78" s="5">
        <f>CV157</f>
        <v>0</v>
      </c>
    </row>
    <row r="79">
      <c r="A79" s="3" t="n">
        <v>2003</v>
      </c>
      <c r="B79" s="5">
        <f>LN('M_70_t'!B10)</f>
        <v>-7.376785273395738</v>
      </c>
      <c r="C79" s="5">
        <f>CK158</f>
        <v>0</v>
      </c>
      <c r="D79" s="5">
        <f>CL158</f>
        <v>0</v>
      </c>
      <c r="E79" s="5">
        <f>CM158</f>
        <v>0</v>
      </c>
      <c r="F79" s="5">
        <f>CN158</f>
        <v>0</v>
      </c>
      <c r="G79" s="5">
        <f>CO158</f>
        <v>0</v>
      </c>
      <c r="H79" s="5">
        <f>CP158</f>
        <v>0</v>
      </c>
      <c r="I79" s="5">
        <f>CQ158</f>
        <v>0</v>
      </c>
      <c r="J79" s="5">
        <f>CR158</f>
        <v>0</v>
      </c>
      <c r="K79" s="5">
        <f>CS158</f>
        <v>0.16666666666666666</v>
      </c>
      <c r="L79" s="5">
        <f>CT158</f>
        <v>0.66666666666666663</v>
      </c>
      <c r="M79" s="5">
        <f>CU158</f>
        <v>0.16666666666666666</v>
      </c>
      <c r="N79" s="5">
        <f>CV158</f>
        <v>0</v>
      </c>
    </row>
    <row r="80">
      <c r="A80" s="3" t="n">
        <v>2004</v>
      </c>
      <c r="B80" s="5">
        <f>LN('M_70_t'!B11)</f>
        <v>-7.3695663279472674</v>
      </c>
      <c r="C80" s="5">
        <f>CK159</f>
        <v>0</v>
      </c>
      <c r="D80" s="5">
        <f>CL159</f>
        <v>0</v>
      </c>
      <c r="E80" s="5">
        <f>CM159</f>
        <v>0</v>
      </c>
      <c r="F80" s="5">
        <f>CN159</f>
        <v>0</v>
      </c>
      <c r="G80" s="5">
        <f>CO159</f>
        <v>0</v>
      </c>
      <c r="H80" s="5">
        <f>CP159</f>
        <v>0</v>
      </c>
      <c r="I80" s="5">
        <f>CQ159</f>
        <v>0</v>
      </c>
      <c r="J80" s="5">
        <f>CR159</f>
        <v>0</v>
      </c>
      <c r="K80" s="5">
        <f>CS159</f>
        <v>0</v>
      </c>
      <c r="L80" s="5">
        <f>CT159</f>
        <v>0.16666666666666666</v>
      </c>
      <c r="M80" s="5">
        <f>CU159</f>
        <v>0.66666666666666663</v>
      </c>
      <c r="N80" s="5">
        <f>CV159</f>
        <v>0.16666666666666666</v>
      </c>
    </row>
    <row r="81"/>
    <row r="82"/>
    <row r="83"/>
    <row r="84"/>
    <row r="85"/>
    <row r="86"/>
    <row r="87"/>
    <row r="88">
      <c r="A88" s="1" t="inlineStr">
        <is>
          <t>Penalised normal matrix G = BᵀB + (lambda/2)D₂ᵀD₂, and RHS = Bᵀy</t>
        </is>
      </c>
    </row>
    <row r="89"/>
    <row r="90" ht="34" customHeight="1">
      <c r="C90" s="6" t="n">
        <v>1992</v>
      </c>
      <c r="D90" s="6" t="n">
        <v>1993</v>
      </c>
      <c r="E90" s="6" t="n">
        <v>1994</v>
      </c>
      <c r="F90" s="6" t="n">
        <v>1995</v>
      </c>
      <c r="G90" s="6" t="n">
        <v>1996</v>
      </c>
      <c r="H90" s="6" t="n">
        <v>1997</v>
      </c>
      <c r="I90" s="6" t="n">
        <v>1998</v>
      </c>
      <c r="J90" s="6" t="n">
        <v>1999</v>
      </c>
      <c r="K90" s="6" t="n">
        <v>2000</v>
      </c>
      <c r="L90" s="6" t="n">
        <v>2001</v>
      </c>
      <c r="M90" s="6" t="n">
        <v>2002</v>
      </c>
      <c r="N90" s="6" t="n">
        <v>2003</v>
      </c>
      <c r="P90" s="6" t="inlineStr">
        <is>
          <t>Bᵀy</t>
        </is>
      </c>
    </row>
    <row r="91">
      <c r="A91" s="3" t="n">
        <v>1992</v>
      </c>
      <c r="C91" s="5">
        <f>SUMPRODUCT(C$71:C$80,C$71:C$80)+$B$4/2*SUMPRODUCT(C$111:C$120,C$111:C$120)</f>
        <v>0.52777777777777779</v>
      </c>
      <c r="D91" s="5">
        <f>SUMPRODUCT(C$71:C$80,D$71:D$80)+$B$4/2*SUMPRODUCT(C$111:C$120,D$111:D$120)</f>
        <v>-0.88888888888888884</v>
      </c>
      <c r="E91" s="5">
        <f>SUMPRODUCT(C$71:C$80,E$71:E$80)+$B$4/2*SUMPRODUCT(C$111:C$120,E$111:E$120)</f>
        <v>0.52777777777777779</v>
      </c>
      <c r="F91" s="5">
        <f>SUMPRODUCT(C$71:C$80,F$71:F$80)+$B$4/2*SUMPRODUCT(C$111:C$120,F$111:F$120)</f>
        <v>0</v>
      </c>
      <c r="G91" s="5">
        <f>SUMPRODUCT(C$71:C$80,G$71:G$80)+$B$4/2*SUMPRODUCT(C$111:C$120,G$111:G$120)</f>
        <v>0</v>
      </c>
      <c r="H91" s="5">
        <f>SUMPRODUCT(C$71:C$80,H$71:H$80)+$B$4/2*SUMPRODUCT(C$111:C$120,H$111:H$120)</f>
        <v>0</v>
      </c>
      <c r="I91" s="5">
        <f>SUMPRODUCT(C$71:C$80,I$71:I$80)+$B$4/2*SUMPRODUCT(C$111:C$120,I$111:I$120)</f>
        <v>0</v>
      </c>
      <c r="J91" s="5">
        <f>SUMPRODUCT(C$71:C$80,J$71:J$80)+$B$4/2*SUMPRODUCT(C$111:C$120,J$111:J$120)</f>
        <v>0</v>
      </c>
      <c r="K91" s="5">
        <f>SUMPRODUCT(C$71:C$80,K$71:K$80)+$B$4/2*SUMPRODUCT(C$111:C$120,K$111:K$120)</f>
        <v>0</v>
      </c>
      <c r="L91" s="5">
        <f>SUMPRODUCT(C$71:C$80,L$71:L$80)+$B$4/2*SUMPRODUCT(C$111:C$120,L$111:L$120)</f>
        <v>0</v>
      </c>
      <c r="M91" s="5">
        <f>SUMPRODUCT(C$71:C$80,M$71:M$80)+$B$4/2*SUMPRODUCT(C$111:C$120,M$111:M$120)</f>
        <v>0</v>
      </c>
      <c r="N91" s="5">
        <f>SUMPRODUCT(C$71:C$80,N$71:N$80)+$B$4/2*SUMPRODUCT(C$111:C$120,N$111:N$120)</f>
        <v>0</v>
      </c>
      <c r="P91" s="5">
        <f>SUMPRODUCT(C$71:C$80,$B$71:$B$80)</f>
        <v>-1.1770842312716627</v>
      </c>
    </row>
    <row r="92">
      <c r="A92" s="3" t="n">
        <v>1993</v>
      </c>
      <c r="C92" s="5">
        <f>SUMPRODUCT(D$71:D$80,C$71:C$80)+$B$4/2*SUMPRODUCT(D$111:D$120,C$111:C$120)</f>
        <v>-0.88888888888888884</v>
      </c>
      <c r="D92" s="5">
        <f>SUMPRODUCT(D$71:D$80,D$71:D$80)+$B$4/2*SUMPRODUCT(D$111:D$120,D$111:D$120)</f>
        <v>2.9722222222222223</v>
      </c>
      <c r="E92" s="5">
        <f>SUMPRODUCT(D$71:D$80,E$71:E$80)+$B$4/2*SUMPRODUCT(D$111:D$120,E$111:E$120)</f>
        <v>-1.7777777777777777</v>
      </c>
      <c r="F92" s="5">
        <f>SUMPRODUCT(D$71:D$80,F$71:F$80)+$B$4/2*SUMPRODUCT(D$111:D$120,F$111:F$120)</f>
        <v>0.52777777777777779</v>
      </c>
      <c r="G92" s="5">
        <f>SUMPRODUCT(D$71:D$80,G$71:G$80)+$B$4/2*SUMPRODUCT(D$111:D$120,G$111:G$120)</f>
        <v>0</v>
      </c>
      <c r="H92" s="5">
        <f>SUMPRODUCT(D$71:D$80,H$71:H$80)+$B$4/2*SUMPRODUCT(D$111:D$120,H$111:H$120)</f>
        <v>0</v>
      </c>
      <c r="I92" s="5">
        <f>SUMPRODUCT(D$71:D$80,I$71:I$80)+$B$4/2*SUMPRODUCT(D$111:D$120,I$111:I$120)</f>
        <v>0</v>
      </c>
      <c r="J92" s="5">
        <f>SUMPRODUCT(D$71:D$80,J$71:J$80)+$B$4/2*SUMPRODUCT(D$111:D$120,J$111:J$120)</f>
        <v>0</v>
      </c>
      <c r="K92" s="5">
        <f>SUMPRODUCT(D$71:D$80,K$71:K$80)+$B$4/2*SUMPRODUCT(D$111:D$120,K$111:K$120)</f>
        <v>0</v>
      </c>
      <c r="L92" s="5">
        <f>SUMPRODUCT(D$71:D$80,L$71:L$80)+$B$4/2*SUMPRODUCT(D$111:D$120,L$111:L$120)</f>
        <v>0</v>
      </c>
      <c r="M92" s="5">
        <f>SUMPRODUCT(D$71:D$80,M$71:M$80)+$B$4/2*SUMPRODUCT(D$111:D$120,M$111:M$120)</f>
        <v>0</v>
      </c>
      <c r="N92" s="5">
        <f>SUMPRODUCT(D$71:D$80,N$71:N$80)+$B$4/2*SUMPRODUCT(D$111:D$120,N$111:N$120)</f>
        <v>0</v>
      </c>
      <c r="P92" s="5">
        <f>SUMPRODUCT(D$71:D$80,$B$71:$B$80)</f>
        <v>-5.8906845366126968</v>
      </c>
    </row>
    <row r="93">
      <c r="A93" s="3" t="n">
        <v>1994</v>
      </c>
      <c r="C93" s="5">
        <f>SUMPRODUCT(E$71:E$80,C$71:C$80)+$B$4/2*SUMPRODUCT(E$111:E$120,C$111:C$120)</f>
        <v>0.52777777777777779</v>
      </c>
      <c r="D93" s="5">
        <f>SUMPRODUCT(E$71:E$80,D$71:D$80)+$B$4/2*SUMPRODUCT(E$111:E$120,D$111:D$120)</f>
        <v>-1.7777777777777777</v>
      </c>
      <c r="E93" s="5">
        <f>SUMPRODUCT(E$71:E$80,E$71:E$80)+$B$4/2*SUMPRODUCT(E$111:E$120,E$111:E$120)</f>
        <v>3.5</v>
      </c>
      <c r="F93" s="5">
        <f>SUMPRODUCT(E$71:E$80,F$71:F$80)+$B$4/2*SUMPRODUCT(E$111:E$120,F$111:F$120)</f>
        <v>-1.7777777777777777</v>
      </c>
      <c r="G93" s="5">
        <f>SUMPRODUCT(E$71:E$80,G$71:G$80)+$B$4/2*SUMPRODUCT(E$111:E$120,G$111:G$120)</f>
        <v>0.52777777777777779</v>
      </c>
      <c r="H93" s="5">
        <f>SUMPRODUCT(E$71:E$80,H$71:H$80)+$B$4/2*SUMPRODUCT(E$111:E$120,H$111:H$120)</f>
        <v>0</v>
      </c>
      <c r="I93" s="5">
        <f>SUMPRODUCT(E$71:E$80,I$71:I$80)+$B$4/2*SUMPRODUCT(E$111:E$120,I$111:I$120)</f>
        <v>0</v>
      </c>
      <c r="J93" s="5">
        <f>SUMPRODUCT(E$71:E$80,J$71:J$80)+$B$4/2*SUMPRODUCT(E$111:E$120,J$111:J$120)</f>
        <v>0</v>
      </c>
      <c r="K93" s="5">
        <f>SUMPRODUCT(E$71:E$80,K$71:K$80)+$B$4/2*SUMPRODUCT(E$111:E$120,K$111:K$120)</f>
        <v>0</v>
      </c>
      <c r="L93" s="5">
        <f>SUMPRODUCT(E$71:E$80,L$71:L$80)+$B$4/2*SUMPRODUCT(E$111:E$120,L$111:L$120)</f>
        <v>0</v>
      </c>
      <c r="M93" s="5">
        <f>SUMPRODUCT(E$71:E$80,M$71:M$80)+$B$4/2*SUMPRODUCT(E$111:E$120,M$111:M$120)</f>
        <v>0</v>
      </c>
      <c r="N93" s="5">
        <f>SUMPRODUCT(E$71:E$80,N$71:N$80)+$B$4/2*SUMPRODUCT(E$111:E$120,N$111:N$120)</f>
        <v>0</v>
      </c>
      <c r="P93" s="5">
        <f>SUMPRODUCT(E$71:E$80,$B$71:$B$80)</f>
        <v>-7.0928874919153113</v>
      </c>
    </row>
    <row r="94">
      <c r="A94" s="3" t="n">
        <v>1995</v>
      </c>
      <c r="C94" s="5">
        <f>SUMPRODUCT(F$71:F$80,C$71:C$80)+$B$4/2*SUMPRODUCT(F$111:F$120,C$111:C$120)</f>
        <v>0</v>
      </c>
      <c r="D94" s="5">
        <f>SUMPRODUCT(F$71:F$80,D$71:D$80)+$B$4/2*SUMPRODUCT(F$111:F$120,D$111:D$120)</f>
        <v>0.52777777777777779</v>
      </c>
      <c r="E94" s="5">
        <f>SUMPRODUCT(F$71:F$80,E$71:E$80)+$B$4/2*SUMPRODUCT(F$111:F$120,E$111:E$120)</f>
        <v>-1.7777777777777777</v>
      </c>
      <c r="F94" s="5">
        <f>SUMPRODUCT(F$71:F$80,F$71:F$80)+$B$4/2*SUMPRODUCT(F$111:F$120,F$111:F$120)</f>
        <v>3.5</v>
      </c>
      <c r="G94" s="5">
        <f>SUMPRODUCT(F$71:F$80,G$71:G$80)+$B$4/2*SUMPRODUCT(F$111:F$120,G$111:G$120)</f>
        <v>-1.7777777777777777</v>
      </c>
      <c r="H94" s="5">
        <f>SUMPRODUCT(F$71:F$80,H$71:H$80)+$B$4/2*SUMPRODUCT(F$111:F$120,H$111:H$120)</f>
        <v>0.52777777777777779</v>
      </c>
      <c r="I94" s="5">
        <f>SUMPRODUCT(F$71:F$80,I$71:I$80)+$B$4/2*SUMPRODUCT(F$111:F$120,I$111:I$120)</f>
        <v>0</v>
      </c>
      <c r="J94" s="5">
        <f>SUMPRODUCT(F$71:F$80,J$71:J$80)+$B$4/2*SUMPRODUCT(F$111:F$120,J$111:J$120)</f>
        <v>0</v>
      </c>
      <c r="K94" s="5">
        <f>SUMPRODUCT(F$71:F$80,K$71:K$80)+$B$4/2*SUMPRODUCT(F$111:F$120,K$111:K$120)</f>
        <v>0</v>
      </c>
      <c r="L94" s="5">
        <f>SUMPRODUCT(F$71:F$80,L$71:L$80)+$B$4/2*SUMPRODUCT(F$111:F$120,L$111:L$120)</f>
        <v>0</v>
      </c>
      <c r="M94" s="5">
        <f>SUMPRODUCT(F$71:F$80,M$71:M$80)+$B$4/2*SUMPRODUCT(F$111:F$120,M$111:M$120)</f>
        <v>0</v>
      </c>
      <c r="N94" s="5">
        <f>SUMPRODUCT(F$71:F$80,N$71:N$80)+$B$4/2*SUMPRODUCT(F$111:F$120,N$111:N$120)</f>
        <v>0</v>
      </c>
      <c r="P94" s="5">
        <f>SUMPRODUCT(F$71:F$80,$B$71:$B$80)</f>
        <v>-7.0830825859641333</v>
      </c>
    </row>
    <row r="95">
      <c r="A95" s="3" t="n">
        <v>1996</v>
      </c>
      <c r="C95" s="5">
        <f>SUMPRODUCT(G$71:G$80,C$71:C$80)+$B$4/2*SUMPRODUCT(G$111:G$120,C$111:C$120)</f>
        <v>0</v>
      </c>
      <c r="D95" s="5">
        <f>SUMPRODUCT(G$71:G$80,D$71:D$80)+$B$4/2*SUMPRODUCT(G$111:G$120,D$111:D$120)</f>
        <v>0</v>
      </c>
      <c r="E95" s="5">
        <f>SUMPRODUCT(G$71:G$80,E$71:E$80)+$B$4/2*SUMPRODUCT(G$111:G$120,E$111:E$120)</f>
        <v>0.52777777777777779</v>
      </c>
      <c r="F95" s="5">
        <f>SUMPRODUCT(G$71:G$80,F$71:F$80)+$B$4/2*SUMPRODUCT(G$111:G$120,F$111:F$120)</f>
        <v>-1.7777777777777777</v>
      </c>
      <c r="G95" s="5">
        <f>SUMPRODUCT(G$71:G$80,G$71:G$80)+$B$4/2*SUMPRODUCT(G$111:G$120,G$111:G$120)</f>
        <v>3.5</v>
      </c>
      <c r="H95" s="5">
        <f>SUMPRODUCT(G$71:G$80,H$71:H$80)+$B$4/2*SUMPRODUCT(G$111:G$120,H$111:H$120)</f>
        <v>-1.7777777777777777</v>
      </c>
      <c r="I95" s="5">
        <f>SUMPRODUCT(G$71:G$80,I$71:I$80)+$B$4/2*SUMPRODUCT(G$111:G$120,I$111:I$120)</f>
        <v>0.52777777777777779</v>
      </c>
      <c r="J95" s="5">
        <f>SUMPRODUCT(G$71:G$80,J$71:J$80)+$B$4/2*SUMPRODUCT(G$111:G$120,J$111:J$120)</f>
        <v>0</v>
      </c>
      <c r="K95" s="5">
        <f>SUMPRODUCT(G$71:G$80,K$71:K$80)+$B$4/2*SUMPRODUCT(G$111:G$120,K$111:K$120)</f>
        <v>0</v>
      </c>
      <c r="L95" s="5">
        <f>SUMPRODUCT(G$71:G$80,L$71:L$80)+$B$4/2*SUMPRODUCT(G$111:G$120,L$111:L$120)</f>
        <v>0</v>
      </c>
      <c r="M95" s="5">
        <f>SUMPRODUCT(G$71:G$80,M$71:M$80)+$B$4/2*SUMPRODUCT(G$111:G$120,M$111:M$120)</f>
        <v>0</v>
      </c>
      <c r="N95" s="5">
        <f>SUMPRODUCT(G$71:G$80,N$71:N$80)+$B$4/2*SUMPRODUCT(G$111:G$120,N$111:N$120)</f>
        <v>0</v>
      </c>
      <c r="P95" s="5">
        <f>SUMPRODUCT(G$71:G$80,$B$71:$B$80)</f>
        <v>-6.9976457734120503</v>
      </c>
    </row>
    <row r="96">
      <c r="A96" s="3" t="n">
        <v>1997</v>
      </c>
      <c r="C96" s="5">
        <f>SUMPRODUCT(H$71:H$80,C$71:C$80)+$B$4/2*SUMPRODUCT(H$111:H$120,C$111:C$120)</f>
        <v>0</v>
      </c>
      <c r="D96" s="5">
        <f>SUMPRODUCT(H$71:H$80,D$71:D$80)+$B$4/2*SUMPRODUCT(H$111:H$120,D$111:D$120)</f>
        <v>0</v>
      </c>
      <c r="E96" s="5">
        <f>SUMPRODUCT(H$71:H$80,E$71:E$80)+$B$4/2*SUMPRODUCT(H$111:H$120,E$111:E$120)</f>
        <v>0</v>
      </c>
      <c r="F96" s="5">
        <f>SUMPRODUCT(H$71:H$80,F$71:F$80)+$B$4/2*SUMPRODUCT(H$111:H$120,F$111:F$120)</f>
        <v>0.52777777777777779</v>
      </c>
      <c r="G96" s="5">
        <f>SUMPRODUCT(H$71:H$80,G$71:G$80)+$B$4/2*SUMPRODUCT(H$111:H$120,G$111:G$120)</f>
        <v>-1.7777777777777777</v>
      </c>
      <c r="H96" s="5">
        <f>SUMPRODUCT(H$71:H$80,H$71:H$80)+$B$4/2*SUMPRODUCT(H$111:H$120,H$111:H$120)</f>
        <v>3.5</v>
      </c>
      <c r="I96" s="5">
        <f>SUMPRODUCT(H$71:H$80,I$71:I$80)+$B$4/2*SUMPRODUCT(H$111:H$120,I$111:I$120)</f>
        <v>-1.7777777777777777</v>
      </c>
      <c r="J96" s="5">
        <f>SUMPRODUCT(H$71:H$80,J$71:J$80)+$B$4/2*SUMPRODUCT(H$111:H$120,J$111:J$120)</f>
        <v>0.52777777777777779</v>
      </c>
      <c r="K96" s="5">
        <f>SUMPRODUCT(H$71:H$80,K$71:K$80)+$B$4/2*SUMPRODUCT(H$111:H$120,K$111:K$120)</f>
        <v>0</v>
      </c>
      <c r="L96" s="5">
        <f>SUMPRODUCT(H$71:H$80,L$71:L$80)+$B$4/2*SUMPRODUCT(H$111:H$120,L$111:L$120)</f>
        <v>0</v>
      </c>
      <c r="M96" s="5">
        <f>SUMPRODUCT(H$71:H$80,M$71:M$80)+$B$4/2*SUMPRODUCT(H$111:H$120,M$111:M$120)</f>
        <v>0</v>
      </c>
      <c r="N96" s="5">
        <f>SUMPRODUCT(H$71:H$80,N$71:N$80)+$B$4/2*SUMPRODUCT(H$111:H$120,N$111:N$120)</f>
        <v>0</v>
      </c>
      <c r="P96" s="5">
        <f>SUMPRODUCT(H$71:H$80,$B$71:$B$80)</f>
        <v>-7.0705242440124803</v>
      </c>
    </row>
    <row r="97">
      <c r="A97" s="3" t="n">
        <v>1998</v>
      </c>
      <c r="C97" s="5">
        <f>SUMPRODUCT(I$71:I$80,C$71:C$80)+$B$4/2*SUMPRODUCT(I$111:I$120,C$111:C$120)</f>
        <v>0</v>
      </c>
      <c r="D97" s="5">
        <f>SUMPRODUCT(I$71:I$80,D$71:D$80)+$B$4/2*SUMPRODUCT(I$111:I$120,D$111:D$120)</f>
        <v>0</v>
      </c>
      <c r="E97" s="5">
        <f>SUMPRODUCT(I$71:I$80,E$71:E$80)+$B$4/2*SUMPRODUCT(I$111:I$120,E$111:E$120)</f>
        <v>0</v>
      </c>
      <c r="F97" s="5">
        <f>SUMPRODUCT(I$71:I$80,F$71:F$80)+$B$4/2*SUMPRODUCT(I$111:I$120,F$111:F$120)</f>
        <v>0</v>
      </c>
      <c r="G97" s="5">
        <f>SUMPRODUCT(I$71:I$80,G$71:G$80)+$B$4/2*SUMPRODUCT(I$111:I$120,G$111:G$120)</f>
        <v>0.52777777777777779</v>
      </c>
      <c r="H97" s="5">
        <f>SUMPRODUCT(I$71:I$80,H$71:H$80)+$B$4/2*SUMPRODUCT(I$111:I$120,H$111:H$120)</f>
        <v>-1.7777777777777777</v>
      </c>
      <c r="I97" s="5">
        <f>SUMPRODUCT(I$71:I$80,I$71:I$80)+$B$4/2*SUMPRODUCT(I$111:I$120,I$111:I$120)</f>
        <v>3.5</v>
      </c>
      <c r="J97" s="5">
        <f>SUMPRODUCT(I$71:I$80,J$71:J$80)+$B$4/2*SUMPRODUCT(I$111:I$120,J$111:J$120)</f>
        <v>-1.7777777777777777</v>
      </c>
      <c r="K97" s="5">
        <f>SUMPRODUCT(I$71:I$80,K$71:K$80)+$B$4/2*SUMPRODUCT(I$111:I$120,K$111:K$120)</f>
        <v>0.52777777777777779</v>
      </c>
      <c r="L97" s="5">
        <f>SUMPRODUCT(I$71:I$80,L$71:L$80)+$B$4/2*SUMPRODUCT(I$111:I$120,L$111:L$120)</f>
        <v>0</v>
      </c>
      <c r="M97" s="5">
        <f>SUMPRODUCT(I$71:I$80,M$71:M$80)+$B$4/2*SUMPRODUCT(I$111:I$120,M$111:M$120)</f>
        <v>0</v>
      </c>
      <c r="N97" s="5">
        <f>SUMPRODUCT(I$71:I$80,N$71:N$80)+$B$4/2*SUMPRODUCT(I$111:I$120,N$111:N$120)</f>
        <v>0</v>
      </c>
      <c r="P97" s="5">
        <f>SUMPRODUCT(I$71:I$80,$B$71:$B$80)</f>
        <v>-6.9972797451602888</v>
      </c>
    </row>
    <row r="98">
      <c r="A98" s="3" t="n">
        <v>1999</v>
      </c>
      <c r="C98" s="5">
        <f>SUMPRODUCT(J$71:J$80,C$71:C$80)+$B$4/2*SUMPRODUCT(J$111:J$120,C$111:C$120)</f>
        <v>0</v>
      </c>
      <c r="D98" s="5">
        <f>SUMPRODUCT(J$71:J$80,D$71:D$80)+$B$4/2*SUMPRODUCT(J$111:J$120,D$111:D$120)</f>
        <v>0</v>
      </c>
      <c r="E98" s="5">
        <f>SUMPRODUCT(J$71:J$80,E$71:E$80)+$B$4/2*SUMPRODUCT(J$111:J$120,E$111:E$120)</f>
        <v>0</v>
      </c>
      <c r="F98" s="5">
        <f>SUMPRODUCT(J$71:J$80,F$71:F$80)+$B$4/2*SUMPRODUCT(J$111:J$120,F$111:F$120)</f>
        <v>0</v>
      </c>
      <c r="G98" s="5">
        <f>SUMPRODUCT(J$71:J$80,G$71:G$80)+$B$4/2*SUMPRODUCT(J$111:J$120,G$111:G$120)</f>
        <v>0</v>
      </c>
      <c r="H98" s="5">
        <f>SUMPRODUCT(J$71:J$80,H$71:H$80)+$B$4/2*SUMPRODUCT(J$111:J$120,H$111:H$120)</f>
        <v>0.52777777777777779</v>
      </c>
      <c r="I98" s="5">
        <f>SUMPRODUCT(J$71:J$80,I$71:I$80)+$B$4/2*SUMPRODUCT(J$111:J$120,I$111:I$120)</f>
        <v>-1.7777777777777777</v>
      </c>
      <c r="J98" s="5">
        <f>SUMPRODUCT(J$71:J$80,J$71:J$80)+$B$4/2*SUMPRODUCT(J$111:J$120,J$111:J$120)</f>
        <v>3.5</v>
      </c>
      <c r="K98" s="5">
        <f>SUMPRODUCT(J$71:J$80,K$71:K$80)+$B$4/2*SUMPRODUCT(J$111:J$120,K$111:K$120)</f>
        <v>-1.7777777777777777</v>
      </c>
      <c r="L98" s="5">
        <f>SUMPRODUCT(J$71:J$80,L$71:L$80)+$B$4/2*SUMPRODUCT(J$111:J$120,L$111:L$120)</f>
        <v>0.52777777777777779</v>
      </c>
      <c r="M98" s="5">
        <f>SUMPRODUCT(J$71:J$80,M$71:M$80)+$B$4/2*SUMPRODUCT(J$111:J$120,M$111:M$120)</f>
        <v>0</v>
      </c>
      <c r="N98" s="5">
        <f>SUMPRODUCT(J$71:J$80,N$71:N$80)+$B$4/2*SUMPRODUCT(J$111:J$120,N$111:N$120)</f>
        <v>0</v>
      </c>
      <c r="P98" s="5">
        <f>SUMPRODUCT(J$71:J$80,$B$71:$B$80)</f>
        <v>-7.157524965173061</v>
      </c>
    </row>
    <row r="99">
      <c r="A99" s="3" t="n">
        <v>2000</v>
      </c>
      <c r="C99" s="5">
        <f>SUMPRODUCT(K$71:K$80,C$71:C$80)+$B$4/2*SUMPRODUCT(K$111:K$120,C$111:C$120)</f>
        <v>0</v>
      </c>
      <c r="D99" s="5">
        <f>SUMPRODUCT(K$71:K$80,D$71:D$80)+$B$4/2*SUMPRODUCT(K$111:K$120,D$111:D$120)</f>
        <v>0</v>
      </c>
      <c r="E99" s="5">
        <f>SUMPRODUCT(K$71:K$80,E$71:E$80)+$B$4/2*SUMPRODUCT(K$111:K$120,E$111:E$120)</f>
        <v>0</v>
      </c>
      <c r="F99" s="5">
        <f>SUMPRODUCT(K$71:K$80,F$71:F$80)+$B$4/2*SUMPRODUCT(K$111:K$120,F$111:F$120)</f>
        <v>0</v>
      </c>
      <c r="G99" s="5">
        <f>SUMPRODUCT(K$71:K$80,G$71:G$80)+$B$4/2*SUMPRODUCT(K$111:K$120,G$111:G$120)</f>
        <v>0</v>
      </c>
      <c r="H99" s="5">
        <f>SUMPRODUCT(K$71:K$80,H$71:H$80)+$B$4/2*SUMPRODUCT(K$111:K$120,H$111:H$120)</f>
        <v>0</v>
      </c>
      <c r="I99" s="5">
        <f>SUMPRODUCT(K$71:K$80,I$71:I$80)+$B$4/2*SUMPRODUCT(K$111:K$120,I$111:I$120)</f>
        <v>0.52777777777777779</v>
      </c>
      <c r="J99" s="5">
        <f>SUMPRODUCT(K$71:K$80,J$71:J$80)+$B$4/2*SUMPRODUCT(K$111:K$120,J$111:J$120)</f>
        <v>-1.7777777777777777</v>
      </c>
      <c r="K99" s="5">
        <f>SUMPRODUCT(K$71:K$80,K$71:K$80)+$B$4/2*SUMPRODUCT(K$111:K$120,K$111:K$120)</f>
        <v>3.5</v>
      </c>
      <c r="L99" s="5">
        <f>SUMPRODUCT(K$71:K$80,L$71:L$80)+$B$4/2*SUMPRODUCT(K$111:K$120,L$111:L$120)</f>
        <v>-1.7777777777777777</v>
      </c>
      <c r="M99" s="5">
        <f>SUMPRODUCT(K$71:K$80,M$71:M$80)+$B$4/2*SUMPRODUCT(K$111:K$120,M$111:M$120)</f>
        <v>0.52777777777777779</v>
      </c>
      <c r="N99" s="5">
        <f>SUMPRODUCT(K$71:K$80,N$71:N$80)+$B$4/2*SUMPRODUCT(K$111:K$120,N$111:N$120)</f>
        <v>0</v>
      </c>
      <c r="P99" s="5">
        <f>SUMPRODUCT(K$71:K$80,$B$71:$B$80)</f>
        <v>-7.2673358544258582</v>
      </c>
    </row>
    <row r="100">
      <c r="A100" s="3" t="n">
        <v>2001</v>
      </c>
      <c r="C100" s="5">
        <f>SUMPRODUCT(L$71:L$80,C$71:C$80)+$B$4/2*SUMPRODUCT(L$111:L$120,C$111:C$120)</f>
        <v>0</v>
      </c>
      <c r="D100" s="5">
        <f>SUMPRODUCT(L$71:L$80,D$71:D$80)+$B$4/2*SUMPRODUCT(L$111:L$120,D$111:D$120)</f>
        <v>0</v>
      </c>
      <c r="E100" s="5">
        <f>SUMPRODUCT(L$71:L$80,E$71:E$80)+$B$4/2*SUMPRODUCT(L$111:L$120,E$111:E$120)</f>
        <v>0</v>
      </c>
      <c r="F100" s="5">
        <f>SUMPRODUCT(L$71:L$80,F$71:F$80)+$B$4/2*SUMPRODUCT(L$111:L$120,F$111:F$120)</f>
        <v>0</v>
      </c>
      <c r="G100" s="5">
        <f>SUMPRODUCT(L$71:L$80,G$71:G$80)+$B$4/2*SUMPRODUCT(L$111:L$120,G$111:G$120)</f>
        <v>0</v>
      </c>
      <c r="H100" s="5">
        <f>SUMPRODUCT(L$71:L$80,H$71:H$80)+$B$4/2*SUMPRODUCT(L$111:L$120,H$111:H$120)</f>
        <v>0</v>
      </c>
      <c r="I100" s="5">
        <f>SUMPRODUCT(L$71:L$80,I$71:I$80)+$B$4/2*SUMPRODUCT(L$111:L$120,I$111:I$120)</f>
        <v>0</v>
      </c>
      <c r="J100" s="5">
        <f>SUMPRODUCT(L$71:L$80,J$71:J$80)+$B$4/2*SUMPRODUCT(L$111:L$120,J$111:J$120)</f>
        <v>0.52777777777777779</v>
      </c>
      <c r="K100" s="5">
        <f>SUMPRODUCT(L$71:L$80,K$71:K$80)+$B$4/2*SUMPRODUCT(L$111:L$120,K$111:K$120)</f>
        <v>-1.7777777777777777</v>
      </c>
      <c r="L100" s="5">
        <f>SUMPRODUCT(L$71:L$80,L$71:L$80)+$B$4/2*SUMPRODUCT(L$111:L$120,L$111:L$120)</f>
        <v>3.5</v>
      </c>
      <c r="M100" s="5">
        <f>SUMPRODUCT(L$71:L$80,M$71:M$80)+$B$4/2*SUMPRODUCT(L$111:L$120,M$111:M$120)</f>
        <v>-1.7777777777777777</v>
      </c>
      <c r="N100" s="5">
        <f>SUMPRODUCT(L$71:L$80,N$71:N$80)+$B$4/2*SUMPRODUCT(L$111:L$120,N$111:N$120)</f>
        <v>0.52777777777777779</v>
      </c>
      <c r="P100" s="5">
        <f>SUMPRODUCT(L$71:L$80,$B$71:$B$80)</f>
        <v>-7.3558385540100648</v>
      </c>
    </row>
    <row r="101">
      <c r="A101" s="3" t="n">
        <v>2002</v>
      </c>
      <c r="C101" s="5">
        <f>SUMPRODUCT(M$71:M$80,C$71:C$80)+$B$4/2*SUMPRODUCT(M$111:M$120,C$111:C$120)</f>
        <v>0</v>
      </c>
      <c r="D101" s="5">
        <f>SUMPRODUCT(M$71:M$80,D$71:D$80)+$B$4/2*SUMPRODUCT(M$111:M$120,D$111:D$120)</f>
        <v>0</v>
      </c>
      <c r="E101" s="5">
        <f>SUMPRODUCT(M$71:M$80,E$71:E$80)+$B$4/2*SUMPRODUCT(M$111:M$120,E$111:E$120)</f>
        <v>0</v>
      </c>
      <c r="F101" s="5">
        <f>SUMPRODUCT(M$71:M$80,F$71:F$80)+$B$4/2*SUMPRODUCT(M$111:M$120,F$111:F$120)</f>
        <v>0</v>
      </c>
      <c r="G101" s="5">
        <f>SUMPRODUCT(M$71:M$80,G$71:G$80)+$B$4/2*SUMPRODUCT(M$111:M$120,G$111:G$120)</f>
        <v>0</v>
      </c>
      <c r="H101" s="5">
        <f>SUMPRODUCT(M$71:M$80,H$71:H$80)+$B$4/2*SUMPRODUCT(M$111:M$120,H$111:H$120)</f>
        <v>0</v>
      </c>
      <c r="I101" s="5">
        <f>SUMPRODUCT(M$71:M$80,I$71:I$80)+$B$4/2*SUMPRODUCT(M$111:M$120,I$111:I$120)</f>
        <v>0</v>
      </c>
      <c r="J101" s="5">
        <f>SUMPRODUCT(M$71:M$80,J$71:J$80)+$B$4/2*SUMPRODUCT(M$111:M$120,J$111:J$120)</f>
        <v>0</v>
      </c>
      <c r="K101" s="5">
        <f>SUMPRODUCT(M$71:M$80,K$71:K$80)+$B$4/2*SUMPRODUCT(M$111:M$120,K$111:K$120)</f>
        <v>0.52777777777777779</v>
      </c>
      <c r="L101" s="5">
        <f>SUMPRODUCT(M$71:M$80,L$71:L$80)+$B$4/2*SUMPRODUCT(M$111:M$120,L$111:L$120)</f>
        <v>-1.7777777777777777</v>
      </c>
      <c r="M101" s="5">
        <f>SUMPRODUCT(M$71:M$80,M$71:M$80)+$B$4/2*SUMPRODUCT(M$111:M$120,M$111:M$120)</f>
        <v>2.9722222222222223</v>
      </c>
      <c r="N101" s="5">
        <f>SUMPRODUCT(M$71:M$80,N$71:N$80)+$B$4/2*SUMPRODUCT(M$111:M$120,N$111:N$120)</f>
        <v>-0.88888888888888884</v>
      </c>
      <c r="P101" s="5">
        <f>SUMPRODUCT(M$71:M$80,$B$71:$B$80)</f>
        <v>-6.142508430864134</v>
      </c>
    </row>
    <row r="102">
      <c r="A102" s="3" t="n">
        <v>2003</v>
      </c>
      <c r="C102" s="5">
        <f>SUMPRODUCT(N$71:N$80,C$71:C$80)+$B$4/2*SUMPRODUCT(N$111:N$120,C$111:C$120)</f>
        <v>0</v>
      </c>
      <c r="D102" s="5">
        <f>SUMPRODUCT(N$71:N$80,D$71:D$80)+$B$4/2*SUMPRODUCT(N$111:N$120,D$111:D$120)</f>
        <v>0</v>
      </c>
      <c r="E102" s="5">
        <f>SUMPRODUCT(N$71:N$80,E$71:E$80)+$B$4/2*SUMPRODUCT(N$111:N$120,E$111:E$120)</f>
        <v>0</v>
      </c>
      <c r="F102" s="5">
        <f>SUMPRODUCT(N$71:N$80,F$71:F$80)+$B$4/2*SUMPRODUCT(N$111:N$120,F$111:F$120)</f>
        <v>0</v>
      </c>
      <c r="G102" s="5">
        <f>SUMPRODUCT(N$71:N$80,G$71:G$80)+$B$4/2*SUMPRODUCT(N$111:N$120,G$111:G$120)</f>
        <v>0</v>
      </c>
      <c r="H102" s="5">
        <f>SUMPRODUCT(N$71:N$80,H$71:H$80)+$B$4/2*SUMPRODUCT(N$111:N$120,H$111:H$120)</f>
        <v>0</v>
      </c>
      <c r="I102" s="5">
        <f>SUMPRODUCT(N$71:N$80,I$71:I$80)+$B$4/2*SUMPRODUCT(N$111:N$120,I$111:I$120)</f>
        <v>0</v>
      </c>
      <c r="J102" s="5">
        <f>SUMPRODUCT(N$71:N$80,J$71:J$80)+$B$4/2*SUMPRODUCT(N$111:N$120,J$111:J$120)</f>
        <v>0</v>
      </c>
      <c r="K102" s="5">
        <f>SUMPRODUCT(N$71:N$80,K$71:K$80)+$B$4/2*SUMPRODUCT(N$111:N$120,K$111:K$120)</f>
        <v>0</v>
      </c>
      <c r="L102" s="5">
        <f>SUMPRODUCT(N$71:N$80,L$71:L$80)+$B$4/2*SUMPRODUCT(N$111:N$120,L$111:L$120)</f>
        <v>0.52777777777777779</v>
      </c>
      <c r="M102" s="5">
        <f>SUMPRODUCT(N$71:N$80,M$71:M$80)+$B$4/2*SUMPRODUCT(N$111:N$120,M$111:M$120)</f>
        <v>-0.88888888888888884</v>
      </c>
      <c r="N102" s="5">
        <f>SUMPRODUCT(N$71:N$80,N$71:N$80)+$B$4/2*SUMPRODUCT(N$111:N$120,N$111:N$120)</f>
        <v>0.52777777777777779</v>
      </c>
      <c r="P102" s="5">
        <f>SUMPRODUCT(N$71:N$80,$B$71:$B$80)</f>
        <v>-1.2282610546578778</v>
      </c>
    </row>
    <row r="103"/>
    <row r="104"/>
    <row r="105"/>
    <row r="106"/>
    <row r="107"/>
    <row r="108">
      <c r="A108" s="1" t="inlineStr">
        <is>
          <t>Second-difference matrix D₂: rows [1, −2, 1]</t>
        </is>
      </c>
    </row>
    <row r="109"/>
    <row r="110"/>
    <row r="111">
      <c r="C111" s="3" t="n">
        <v>1</v>
      </c>
      <c r="D111" s="3" t="n">
        <v>-2</v>
      </c>
      <c r="E111" s="3" t="n">
        <v>1</v>
      </c>
      <c r="F111" s="3" t="n">
        <v>0</v>
      </c>
      <c r="G111" s="3" t="n">
        <v>0</v>
      </c>
      <c r="H111" s="3" t="n">
        <v>0</v>
      </c>
      <c r="I111" s="3" t="n">
        <v>0</v>
      </c>
      <c r="J111" s="3" t="n">
        <v>0</v>
      </c>
      <c r="K111" s="3" t="n">
        <v>0</v>
      </c>
      <c r="L111" s="3" t="n">
        <v>0</v>
      </c>
      <c r="M111" s="3" t="n">
        <v>0</v>
      </c>
      <c r="N111" s="3" t="n">
        <v>0</v>
      </c>
    </row>
    <row r="112">
      <c r="C112" s="3" t="n">
        <v>0</v>
      </c>
      <c r="D112" s="3" t="n">
        <v>1</v>
      </c>
      <c r="E112" s="3" t="n">
        <v>-2</v>
      </c>
      <c r="F112" s="3" t="n">
        <v>1</v>
      </c>
      <c r="G112" s="3" t="n">
        <v>0</v>
      </c>
      <c r="H112" s="3" t="n">
        <v>0</v>
      </c>
      <c r="I112" s="3" t="n">
        <v>0</v>
      </c>
      <c r="J112" s="3" t="n">
        <v>0</v>
      </c>
      <c r="K112" s="3" t="n">
        <v>0</v>
      </c>
      <c r="L112" s="3" t="n">
        <v>0</v>
      </c>
      <c r="M112" s="3" t="n">
        <v>0</v>
      </c>
      <c r="N112" s="3" t="n">
        <v>0</v>
      </c>
    </row>
    <row r="113">
      <c r="C113" s="3" t="n">
        <v>0</v>
      </c>
      <c r="D113" s="3" t="n">
        <v>0</v>
      </c>
      <c r="E113" s="3" t="n">
        <v>1</v>
      </c>
      <c r="F113" s="3" t="n">
        <v>-2</v>
      </c>
      <c r="G113" s="3" t="n">
        <v>1</v>
      </c>
      <c r="H113" s="3" t="n">
        <v>0</v>
      </c>
      <c r="I113" s="3" t="n">
        <v>0</v>
      </c>
      <c r="J113" s="3" t="n">
        <v>0</v>
      </c>
      <c r="K113" s="3" t="n">
        <v>0</v>
      </c>
      <c r="L113" s="3" t="n">
        <v>0</v>
      </c>
      <c r="M113" s="3" t="n">
        <v>0</v>
      </c>
      <c r="N113" s="3" t="n">
        <v>0</v>
      </c>
    </row>
    <row r="114">
      <c r="C114" s="3" t="n">
        <v>0</v>
      </c>
      <c r="D114" s="3" t="n">
        <v>0</v>
      </c>
      <c r="E114" s="3" t="n">
        <v>0</v>
      </c>
      <c r="F114" s="3" t="n">
        <v>1</v>
      </c>
      <c r="G114" s="3" t="n">
        <v>-2</v>
      </c>
      <c r="H114" s="3" t="n">
        <v>1</v>
      </c>
      <c r="I114" s="3" t="n">
        <v>0</v>
      </c>
      <c r="J114" s="3" t="n">
        <v>0</v>
      </c>
      <c r="K114" s="3" t="n">
        <v>0</v>
      </c>
      <c r="L114" s="3" t="n">
        <v>0</v>
      </c>
      <c r="M114" s="3" t="n">
        <v>0</v>
      </c>
      <c r="N114" s="3" t="n">
        <v>0</v>
      </c>
    </row>
    <row r="115">
      <c r="C115" s="3" t="n">
        <v>0</v>
      </c>
      <c r="D115" s="3" t="n">
        <v>0</v>
      </c>
      <c r="E115" s="3" t="n">
        <v>0</v>
      </c>
      <c r="F115" s="3" t="n">
        <v>0</v>
      </c>
      <c r="G115" s="3" t="n">
        <v>1</v>
      </c>
      <c r="H115" s="3" t="n">
        <v>-2</v>
      </c>
      <c r="I115" s="3" t="n">
        <v>1</v>
      </c>
      <c r="J115" s="3" t="n">
        <v>0</v>
      </c>
      <c r="K115" s="3" t="n">
        <v>0</v>
      </c>
      <c r="L115" s="3" t="n">
        <v>0</v>
      </c>
      <c r="M115" s="3" t="n">
        <v>0</v>
      </c>
      <c r="N115" s="3" t="n">
        <v>0</v>
      </c>
    </row>
    <row r="116">
      <c r="C116" s="3" t="n">
        <v>0</v>
      </c>
      <c r="D116" s="3" t="n">
        <v>0</v>
      </c>
      <c r="E116" s="3" t="n">
        <v>0</v>
      </c>
      <c r="F116" s="3" t="n">
        <v>0</v>
      </c>
      <c r="G116" s="3" t="n">
        <v>0</v>
      </c>
      <c r="H116" s="3" t="n">
        <v>1</v>
      </c>
      <c r="I116" s="3" t="n">
        <v>-2</v>
      </c>
      <c r="J116" s="3" t="n">
        <v>1</v>
      </c>
      <c r="K116" s="3" t="n">
        <v>0</v>
      </c>
      <c r="L116" s="3" t="n">
        <v>0</v>
      </c>
      <c r="M116" s="3" t="n">
        <v>0</v>
      </c>
      <c r="N116" s="3" t="n">
        <v>0</v>
      </c>
    </row>
    <row r="117">
      <c r="C117" s="3" t="n">
        <v>0</v>
      </c>
      <c r="D117" s="3" t="n">
        <v>0</v>
      </c>
      <c r="E117" s="3" t="n">
        <v>0</v>
      </c>
      <c r="F117" s="3" t="n">
        <v>0</v>
      </c>
      <c r="G117" s="3" t="n">
        <v>0</v>
      </c>
      <c r="H117" s="3" t="n">
        <v>0</v>
      </c>
      <c r="I117" s="3" t="n">
        <v>1</v>
      </c>
      <c r="J117" s="3" t="n">
        <v>-2</v>
      </c>
      <c r="K117" s="3" t="n">
        <v>1</v>
      </c>
      <c r="L117" s="3" t="n">
        <v>0</v>
      </c>
      <c r="M117" s="3" t="n">
        <v>0</v>
      </c>
      <c r="N117" s="3" t="n">
        <v>0</v>
      </c>
    </row>
    <row r="118">
      <c r="C118" s="3" t="n">
        <v>0</v>
      </c>
      <c r="D118" s="3" t="n">
        <v>0</v>
      </c>
      <c r="E118" s="3" t="n">
        <v>0</v>
      </c>
      <c r="F118" s="3" t="n">
        <v>0</v>
      </c>
      <c r="G118" s="3" t="n">
        <v>0</v>
      </c>
      <c r="H118" s="3" t="n">
        <v>0</v>
      </c>
      <c r="I118" s="3" t="n">
        <v>0</v>
      </c>
      <c r="J118" s="3" t="n">
        <v>1</v>
      </c>
      <c r="K118" s="3" t="n">
        <v>-2</v>
      </c>
      <c r="L118" s="3" t="n">
        <v>1</v>
      </c>
      <c r="M118" s="3" t="n">
        <v>0</v>
      </c>
      <c r="N118" s="3" t="n">
        <v>0</v>
      </c>
    </row>
    <row r="119">
      <c r="C119" s="3" t="n">
        <v>0</v>
      </c>
      <c r="D119" s="3" t="n">
        <v>0</v>
      </c>
      <c r="E119" s="3" t="n">
        <v>0</v>
      </c>
      <c r="F119" s="3" t="n">
        <v>0</v>
      </c>
      <c r="G119" s="3" t="n">
        <v>0</v>
      </c>
      <c r="H119" s="3" t="n">
        <v>0</v>
      </c>
      <c r="I119" s="3" t="n">
        <v>0</v>
      </c>
      <c r="J119" s="3" t="n">
        <v>0</v>
      </c>
      <c r="K119" s="3" t="n">
        <v>1</v>
      </c>
      <c r="L119" s="3" t="n">
        <v>-2</v>
      </c>
      <c r="M119" s="3" t="n">
        <v>1</v>
      </c>
      <c r="N119" s="3" t="n">
        <v>0</v>
      </c>
    </row>
    <row r="120">
      <c r="C120" s="3" t="n">
        <v>0</v>
      </c>
      <c r="D120" s="3" t="n">
        <v>0</v>
      </c>
      <c r="E120" s="3" t="n">
        <v>0</v>
      </c>
      <c r="F120" s="3" t="n">
        <v>0</v>
      </c>
      <c r="G120" s="3" t="n">
        <v>0</v>
      </c>
      <c r="H120" s="3" t="n">
        <v>0</v>
      </c>
      <c r="I120" s="3" t="n">
        <v>0</v>
      </c>
      <c r="J120" s="3" t="n">
        <v>0</v>
      </c>
      <c r="K120" s="3" t="n">
        <v>0</v>
      </c>
      <c r="L120" s="3" t="n">
        <v>1</v>
      </c>
      <c r="M120" s="3" t="n">
        <v>-2</v>
      </c>
      <c r="N120" s="3" t="n">
        <v>1</v>
      </c>
    </row>
    <row r="121"/>
    <row r="122"/>
    <row r="123"/>
    <row r="124"/>
    <row r="125"/>
    <row r="126"/>
    <row r="127"/>
    <row r="128"/>
    <row r="129"/>
    <row r="130"/>
    <row r="131"/>
    <row r="132"/>
    <row r="133"/>
    <row r="134"/>
    <row r="135"/>
    <row r="136"/>
    <row r="137"/>
    <row r="138"/>
    <row r="139"/>
    <row r="140"/>
    <row r="141"/>
    <row r="142"/>
    <row r="143"/>
    <row r="144"/>
    <row r="145"/>
    <row r="146"/>
    <row r="147"/>
    <row r="148"/>
    <row r="149" ht="34" customHeight="1">
      <c r="A149" s="6" t="inlineStr">
        <is>
          <t>Evaluation year</t>
        </is>
      </c>
      <c r="B149" s="6" t="inlineStr">
        <is>
          <t>B1992,k=1</t>
        </is>
      </c>
      <c r="C149" s="6" t="inlineStr">
        <is>
          <t>B1993,k=1</t>
        </is>
      </c>
      <c r="D149" s="6" t="inlineStr">
        <is>
          <t>B1994,k=1</t>
        </is>
      </c>
      <c r="E149" s="6" t="inlineStr">
        <is>
          <t>B1995,k=1</t>
        </is>
      </c>
      <c r="F149" s="6" t="inlineStr">
        <is>
          <t>B1996,k=1</t>
        </is>
      </c>
      <c r="G149" s="6" t="inlineStr">
        <is>
          <t>B1997,k=1</t>
        </is>
      </c>
      <c r="H149" s="6" t="inlineStr">
        <is>
          <t>B1998,k=1</t>
        </is>
      </c>
      <c r="I149" s="6" t="inlineStr">
        <is>
          <t>B1999,k=1</t>
        </is>
      </c>
      <c r="J149" s="6" t="inlineStr">
        <is>
          <t>B2000,k=1</t>
        </is>
      </c>
      <c r="K149" s="6" t="inlineStr">
        <is>
          <t>B2001,k=1</t>
        </is>
      </c>
      <c r="L149" s="6" t="inlineStr">
        <is>
          <t>B2002,k=1</t>
        </is>
      </c>
      <c r="M149" s="6" t="inlineStr">
        <is>
          <t>B2003,k=1</t>
        </is>
      </c>
      <c r="N149" s="6" t="inlineStr">
        <is>
          <t>B2004,k=1</t>
        </is>
      </c>
      <c r="O149" s="6" t="inlineStr">
        <is>
          <t>B2005,k=1</t>
        </is>
      </c>
      <c r="P149" s="6" t="inlineStr">
        <is>
          <t>B2006,k=1</t>
        </is>
      </c>
      <c r="Q149" s="6" t="inlineStr">
        <is>
          <t>B2007,k=1</t>
        </is>
      </c>
      <c r="R149" s="6" t="inlineStr">
        <is>
          <t>B2008,k=1</t>
        </is>
      </c>
      <c r="S149" s="6" t="inlineStr">
        <is>
          <t>B2009,k=1</t>
        </is>
      </c>
      <c r="T149" s="6" t="inlineStr">
        <is>
          <t>B2010,k=1</t>
        </is>
      </c>
      <c r="U149" s="6" t="inlineStr">
        <is>
          <t>B2011,k=1</t>
        </is>
      </c>
      <c r="V149" s="6" t="inlineStr">
        <is>
          <t>B2012,k=1</t>
        </is>
      </c>
      <c r="W149" s="6" t="inlineStr">
        <is>
          <t>B2013,k=1</t>
        </is>
      </c>
      <c r="X149" s="6" t="inlineStr">
        <is>
          <t>B2014,k=1</t>
        </is>
      </c>
      <c r="Y149" s="6" t="inlineStr">
        <is>
          <t>B2015,k=1</t>
        </is>
      </c>
      <c r="Z149" s="6" t="inlineStr">
        <is>
          <t>B2016,k=1</t>
        </is>
      </c>
      <c r="AA149" s="6" t="inlineStr">
        <is>
          <t>B2017,k=1</t>
        </is>
      </c>
      <c r="AB149" s="6" t="inlineStr">
        <is>
          <t>B2018,k=1</t>
        </is>
      </c>
      <c r="AC149" s="6" t="inlineStr">
        <is>
          <t>B2019,k=1</t>
        </is>
      </c>
      <c r="AD149" s="6" t="inlineStr">
        <is>
          <t>B2020,k=1</t>
        </is>
      </c>
      <c r="AE149" s="6" t="inlineStr">
        <is>
          <t>B2021,k=1</t>
        </is>
      </c>
      <c r="AF149" s="6" t="inlineStr">
        <is>
          <t>B1992,k=2</t>
        </is>
      </c>
      <c r="AG149" s="6" t="inlineStr">
        <is>
          <t>B1993,k=2</t>
        </is>
      </c>
      <c r="AH149" s="6" t="inlineStr">
        <is>
          <t>B1994,k=2</t>
        </is>
      </c>
      <c r="AI149" s="6" t="inlineStr">
        <is>
          <t>B1995,k=2</t>
        </is>
      </c>
      <c r="AJ149" s="6" t="inlineStr">
        <is>
          <t>B1996,k=2</t>
        </is>
      </c>
      <c r="AK149" s="6" t="inlineStr">
        <is>
          <t>B1997,k=2</t>
        </is>
      </c>
      <c r="AL149" s="6" t="inlineStr">
        <is>
          <t>B1998,k=2</t>
        </is>
      </c>
      <c r="AM149" s="6" t="inlineStr">
        <is>
          <t>B1999,k=2</t>
        </is>
      </c>
      <c r="AN149" s="6" t="inlineStr">
        <is>
          <t>B2000,k=2</t>
        </is>
      </c>
      <c r="AO149" s="6" t="inlineStr">
        <is>
          <t>B2001,k=2</t>
        </is>
      </c>
      <c r="AP149" s="6" t="inlineStr">
        <is>
          <t>B2002,k=2</t>
        </is>
      </c>
      <c r="AQ149" s="6" t="inlineStr">
        <is>
          <t>B2003,k=2</t>
        </is>
      </c>
      <c r="AR149" s="6" t="inlineStr">
        <is>
          <t>B2004,k=2</t>
        </is>
      </c>
      <c r="AS149" s="6" t="inlineStr">
        <is>
          <t>B2005,k=2</t>
        </is>
      </c>
      <c r="AT149" s="6" t="inlineStr">
        <is>
          <t>B2006,k=2</t>
        </is>
      </c>
      <c r="AU149" s="6" t="inlineStr">
        <is>
          <t>B2007,k=2</t>
        </is>
      </c>
      <c r="AV149" s="6" t="inlineStr">
        <is>
          <t>B2008,k=2</t>
        </is>
      </c>
      <c r="AW149" s="6" t="inlineStr">
        <is>
          <t>B2009,k=2</t>
        </is>
      </c>
      <c r="AX149" s="6" t="inlineStr">
        <is>
          <t>B2010,k=2</t>
        </is>
      </c>
      <c r="AY149" s="6" t="inlineStr">
        <is>
          <t>B2011,k=2</t>
        </is>
      </c>
      <c r="AZ149" s="6" t="inlineStr">
        <is>
          <t>B2012,k=2</t>
        </is>
      </c>
      <c r="BA149" s="6" t="inlineStr">
        <is>
          <t>B2013,k=2</t>
        </is>
      </c>
      <c r="BB149" s="6" t="inlineStr">
        <is>
          <t>B2014,k=2</t>
        </is>
      </c>
      <c r="BC149" s="6" t="inlineStr">
        <is>
          <t>B2015,k=2</t>
        </is>
      </c>
      <c r="BD149" s="6" t="inlineStr">
        <is>
          <t>B2016,k=2</t>
        </is>
      </c>
      <c r="BE149" s="6" t="inlineStr">
        <is>
          <t>B2017,k=2</t>
        </is>
      </c>
      <c r="BF149" s="6" t="inlineStr">
        <is>
          <t>B2018,k=2</t>
        </is>
      </c>
      <c r="BG149" s="6" t="inlineStr">
        <is>
          <t>B2019,k=2</t>
        </is>
      </c>
      <c r="BH149" s="6" t="inlineStr">
        <is>
          <t>B2020,k=2</t>
        </is>
      </c>
      <c r="BI149" s="6" t="inlineStr">
        <is>
          <t>B1992,k=3</t>
        </is>
      </c>
      <c r="BJ149" s="6" t="inlineStr">
        <is>
          <t>B1993,k=3</t>
        </is>
      </c>
      <c r="BK149" s="6" t="inlineStr">
        <is>
          <t>B1994,k=3</t>
        </is>
      </c>
      <c r="BL149" s="6" t="inlineStr">
        <is>
          <t>B1995,k=3</t>
        </is>
      </c>
      <c r="BM149" s="6" t="inlineStr">
        <is>
          <t>B1996,k=3</t>
        </is>
      </c>
      <c r="BN149" s="6" t="inlineStr">
        <is>
          <t>B1997,k=3</t>
        </is>
      </c>
      <c r="BO149" s="6" t="inlineStr">
        <is>
          <t>B1998,k=3</t>
        </is>
      </c>
      <c r="BP149" s="6" t="inlineStr">
        <is>
          <t>B1999,k=3</t>
        </is>
      </c>
      <c r="BQ149" s="6" t="inlineStr">
        <is>
          <t>B2000,k=3</t>
        </is>
      </c>
      <c r="BR149" s="6" t="inlineStr">
        <is>
          <t>B2001,k=3</t>
        </is>
      </c>
      <c r="BS149" s="6" t="inlineStr">
        <is>
          <t>B2002,k=3</t>
        </is>
      </c>
      <c r="BT149" s="6" t="inlineStr">
        <is>
          <t>B2003,k=3</t>
        </is>
      </c>
      <c r="BU149" s="6" t="inlineStr">
        <is>
          <t>B2004,k=3</t>
        </is>
      </c>
      <c r="BV149" s="6" t="inlineStr">
        <is>
          <t>B2005,k=3</t>
        </is>
      </c>
      <c r="BW149" s="6" t="inlineStr">
        <is>
          <t>B2006,k=3</t>
        </is>
      </c>
      <c r="BX149" s="6" t="inlineStr">
        <is>
          <t>B2007,k=3</t>
        </is>
      </c>
      <c r="BY149" s="6" t="inlineStr">
        <is>
          <t>B2008,k=3</t>
        </is>
      </c>
      <c r="BZ149" s="6" t="inlineStr">
        <is>
          <t>B2009,k=3</t>
        </is>
      </c>
      <c r="CA149" s="6" t="inlineStr">
        <is>
          <t>B2010,k=3</t>
        </is>
      </c>
      <c r="CB149" s="6" t="inlineStr">
        <is>
          <t>B2011,k=3</t>
        </is>
      </c>
      <c r="CC149" s="6" t="inlineStr">
        <is>
          <t>B2012,k=3</t>
        </is>
      </c>
      <c r="CD149" s="6" t="inlineStr">
        <is>
          <t>B2013,k=3</t>
        </is>
      </c>
      <c r="CE149" s="6" t="inlineStr">
        <is>
          <t>B2014,k=3</t>
        </is>
      </c>
      <c r="CF149" s="6" t="inlineStr">
        <is>
          <t>B2015,k=3</t>
        </is>
      </c>
      <c r="CG149" s="6" t="inlineStr">
        <is>
          <t>B2016,k=3</t>
        </is>
      </c>
      <c r="CH149" s="6" t="inlineStr">
        <is>
          <t>B2017,k=3</t>
        </is>
      </c>
      <c r="CI149" s="6" t="inlineStr">
        <is>
          <t>B2018,k=3</t>
        </is>
      </c>
      <c r="CJ149" s="6" t="inlineStr">
        <is>
          <t>B2019,k=3</t>
        </is>
      </c>
      <c r="CK149" s="6" t="inlineStr">
        <is>
          <t>B1992,k=4</t>
        </is>
      </c>
      <c r="CL149" s="6" t="inlineStr">
        <is>
          <t>B1993,k=4</t>
        </is>
      </c>
      <c r="CM149" s="6" t="inlineStr">
        <is>
          <t>B1994,k=4</t>
        </is>
      </c>
      <c r="CN149" s="6" t="inlineStr">
        <is>
          <t>B1995,k=4</t>
        </is>
      </c>
      <c r="CO149" s="6" t="inlineStr">
        <is>
          <t>B1996,k=4</t>
        </is>
      </c>
      <c r="CP149" s="6" t="inlineStr">
        <is>
          <t>B1997,k=4</t>
        </is>
      </c>
      <c r="CQ149" s="6" t="inlineStr">
        <is>
          <t>B1998,k=4</t>
        </is>
      </c>
      <c r="CR149" s="6" t="inlineStr">
        <is>
          <t>B1999,k=4</t>
        </is>
      </c>
      <c r="CS149" s="6" t="inlineStr">
        <is>
          <t>B2000,k=4</t>
        </is>
      </c>
      <c r="CT149" s="6" t="inlineStr">
        <is>
          <t>B2001,k=4</t>
        </is>
      </c>
      <c r="CU149" s="6" t="inlineStr">
        <is>
          <t>B2002,k=4</t>
        </is>
      </c>
      <c r="CV149" s="6" t="inlineStr">
        <is>
          <t>B2003,k=4</t>
        </is>
      </c>
      <c r="CW149" s="6" t="inlineStr">
        <is>
          <t>B2004,k=4</t>
        </is>
      </c>
      <c r="CX149" s="6" t="inlineStr">
        <is>
          <t>B2005,k=4</t>
        </is>
      </c>
      <c r="CY149" s="6" t="inlineStr">
        <is>
          <t>B2006,k=4</t>
        </is>
      </c>
      <c r="CZ149" s="6" t="inlineStr">
        <is>
          <t>B2007,k=4</t>
        </is>
      </c>
      <c r="DA149" s="6" t="inlineStr">
        <is>
          <t>B2008,k=4</t>
        </is>
      </c>
      <c r="DB149" s="6" t="inlineStr">
        <is>
          <t>B2009,k=4</t>
        </is>
      </c>
      <c r="DC149" s="6" t="inlineStr">
        <is>
          <t>B2010,k=4</t>
        </is>
      </c>
      <c r="DD149" s="6" t="inlineStr">
        <is>
          <t>B2011,k=4</t>
        </is>
      </c>
      <c r="DE149" s="6" t="inlineStr">
        <is>
          <t>B2012,k=4</t>
        </is>
      </c>
      <c r="DF149" s="6" t="inlineStr">
        <is>
          <t>B2013,k=4</t>
        </is>
      </c>
      <c r="DG149" s="6" t="inlineStr">
        <is>
          <t>B2014,k=4</t>
        </is>
      </c>
      <c r="DH149" s="6" t="inlineStr">
        <is>
          <t>B2015,k=4</t>
        </is>
      </c>
      <c r="DI149" s="6" t="inlineStr">
        <is>
          <t>B2016,k=4</t>
        </is>
      </c>
      <c r="DJ149" s="6" t="inlineStr">
        <is>
          <t>B2017,k=4</t>
        </is>
      </c>
      <c r="DK149" s="6" t="inlineStr">
        <is>
          <t>B2018,k=4</t>
        </is>
      </c>
    </row>
    <row r="150">
      <c r="A150" s="3" t="n">
        <v>1995</v>
      </c>
      <c r="B150" s="5">
        <f>IF(AND($A150&gt;=1992,$A150&lt;1993),1,0)</f>
        <v>0</v>
      </c>
      <c r="C150" s="5">
        <f>IF(AND($A150&gt;=1993,$A150&lt;1994),1,0)</f>
        <v>0</v>
      </c>
      <c r="D150" s="5">
        <f>IF(AND($A150&gt;=1994,$A150&lt;1995),1,0)</f>
        <v>0</v>
      </c>
      <c r="E150" s="5">
        <f>IF(AND($A150&gt;=1995,$A150&lt;1996),1,0)</f>
        <v>1</v>
      </c>
      <c r="F150" s="5">
        <f>IF(AND($A150&gt;=1996,$A150&lt;1997),1,0)</f>
        <v>0</v>
      </c>
      <c r="G150" s="5">
        <f>IF(AND($A150&gt;=1997,$A150&lt;1998),1,0)</f>
        <v>0</v>
      </c>
      <c r="H150" s="5">
        <f>IF(AND($A150&gt;=1998,$A150&lt;1999),1,0)</f>
        <v>0</v>
      </c>
      <c r="I150" s="5">
        <f>IF(AND($A150&gt;=1999,$A150&lt;2000),1,0)</f>
        <v>0</v>
      </c>
      <c r="J150" s="5">
        <f>IF(AND($A150&gt;=2000,$A150&lt;2001),1,0)</f>
        <v>0</v>
      </c>
      <c r="K150" s="5">
        <f>IF(AND($A150&gt;=2001,$A150&lt;2002),1,0)</f>
        <v>0</v>
      </c>
      <c r="L150" s="5">
        <f>IF(AND($A150&gt;=2002,$A150&lt;2003),1,0)</f>
        <v>0</v>
      </c>
      <c r="M150" s="5">
        <f>IF(AND($A150&gt;=2003,$A150&lt;2004),1,0)</f>
        <v>0</v>
      </c>
      <c r="N150" s="5">
        <f>IF(AND($A150&gt;=2004,$A150&lt;2005),1,0)</f>
        <v>0</v>
      </c>
      <c r="O150" s="5">
        <f>IF(AND($A150&gt;=2005,$A150&lt;2006),1,0)</f>
        <v>0</v>
      </c>
      <c r="P150" s="5">
        <f>IF(AND($A150&gt;=2006,$A150&lt;2007),1,0)</f>
        <v>0</v>
      </c>
      <c r="Q150" s="5">
        <f>IF(AND($A150&gt;=2007,$A150&lt;2008),1,0)</f>
        <v>0</v>
      </c>
      <c r="R150" s="5">
        <f>IF(AND($A150&gt;=2008,$A150&lt;2009),1,0)</f>
        <v>0</v>
      </c>
      <c r="S150" s="5">
        <f>IF(AND($A150&gt;=2009,$A150&lt;2010),1,0)</f>
        <v>0</v>
      </c>
      <c r="T150" s="5">
        <f>IF(AND($A150&gt;=2010,$A150&lt;2011),1,0)</f>
        <v>0</v>
      </c>
      <c r="U150" s="5">
        <f>IF(AND($A150&gt;=2011,$A150&lt;2012),1,0)</f>
        <v>0</v>
      </c>
      <c r="V150" s="5">
        <f>IF(AND($A150&gt;=2012,$A150&lt;2013),1,0)</f>
        <v>0</v>
      </c>
      <c r="W150" s="5">
        <f>IF(AND($A150&gt;=2013,$A150&lt;2014),1,0)</f>
        <v>0</v>
      </c>
      <c r="X150" s="5">
        <f>IF(AND($A150&gt;=2014,$A150&lt;2015),1,0)</f>
        <v>0</v>
      </c>
      <c r="Y150" s="5">
        <f>IF(AND($A150&gt;=2015,$A150&lt;2016),1,0)</f>
        <v>0</v>
      </c>
      <c r="Z150" s="5">
        <f>IF(AND($A150&gt;=2016,$A150&lt;2017),1,0)</f>
        <v>0</v>
      </c>
      <c r="AA150" s="5">
        <f>IF(AND($A150&gt;=2017,$A150&lt;2018),1,0)</f>
        <v>0</v>
      </c>
      <c r="AB150" s="5">
        <f>IF(AND($A150&gt;=2018,$A150&lt;2019),1,0)</f>
        <v>0</v>
      </c>
      <c r="AC150" s="5">
        <f>IF(AND($A150&gt;=2019,$A150&lt;2020),1,0)</f>
        <v>0</v>
      </c>
      <c r="AD150" s="5">
        <f>IF(AND($A150&gt;=2020,$A150&lt;2021),1,0)</f>
        <v>0</v>
      </c>
      <c r="AE150" s="5">
        <f>IF(AND($A150&gt;=2021,$A150&lt;2022),1,0)</f>
        <v>0</v>
      </c>
      <c r="AF150" s="5">
        <f>($A150-1992)/((2-1)*$D$4)*B150+(1992+2*$D$4-$A150)/((2-1)*$D$4)*C150</f>
        <v>0</v>
      </c>
      <c r="AG150" s="5">
        <f>($A150-1993)/((2-1)*$D$4)*C150+(1993+2*$D$4-$A150)/((2-1)*$D$4)*D150</f>
        <v>0</v>
      </c>
      <c r="AH150" s="5">
        <f>($A150-1994)/((2-1)*$D$4)*D150+(1994+2*$D$4-$A150)/((2-1)*$D$4)*E150</f>
        <v>1</v>
      </c>
      <c r="AI150" s="5">
        <f>($A150-1995)/((2-1)*$D$4)*E150+(1995+2*$D$4-$A150)/((2-1)*$D$4)*F150</f>
        <v>0</v>
      </c>
      <c r="AJ150" s="5">
        <f>($A150-1996)/((2-1)*$D$4)*F150+(1996+2*$D$4-$A150)/((2-1)*$D$4)*G150</f>
        <v>0</v>
      </c>
      <c r="AK150" s="5">
        <f>($A150-1997)/((2-1)*$D$4)*G150+(1997+2*$D$4-$A150)/((2-1)*$D$4)*H150</f>
        <v>0</v>
      </c>
      <c r="AL150" s="5">
        <f>($A150-1998)/((2-1)*$D$4)*H150+(1998+2*$D$4-$A150)/((2-1)*$D$4)*I150</f>
        <v>0</v>
      </c>
      <c r="AM150" s="5">
        <f>($A150-1999)/((2-1)*$D$4)*I150+(1999+2*$D$4-$A150)/((2-1)*$D$4)*J150</f>
        <v>0</v>
      </c>
      <c r="AN150" s="5">
        <f>($A150-2000)/((2-1)*$D$4)*J150+(2000+2*$D$4-$A150)/((2-1)*$D$4)*K150</f>
        <v>0</v>
      </c>
      <c r="AO150" s="5">
        <f>($A150-2001)/((2-1)*$D$4)*K150+(2001+2*$D$4-$A150)/((2-1)*$D$4)*L150</f>
        <v>0</v>
      </c>
      <c r="AP150" s="5">
        <f>($A150-2002)/((2-1)*$D$4)*L150+(2002+2*$D$4-$A150)/((2-1)*$D$4)*M150</f>
        <v>0</v>
      </c>
      <c r="AQ150" s="5">
        <f>($A150-2003)/((2-1)*$D$4)*M150+(2003+2*$D$4-$A150)/((2-1)*$D$4)*N150</f>
        <v>0</v>
      </c>
      <c r="AR150" s="5">
        <f>($A150-2004)/((2-1)*$D$4)*N150+(2004+2*$D$4-$A150)/((2-1)*$D$4)*O150</f>
        <v>0</v>
      </c>
      <c r="AS150" s="5">
        <f>($A150-2005)/((2-1)*$D$4)*O150+(2005+2*$D$4-$A150)/((2-1)*$D$4)*P150</f>
        <v>0</v>
      </c>
      <c r="AT150" s="5">
        <f>($A150-2006)/((2-1)*$D$4)*P150+(2006+2*$D$4-$A150)/((2-1)*$D$4)*Q150</f>
        <v>0</v>
      </c>
      <c r="AU150" s="5">
        <f>($A150-2007)/((2-1)*$D$4)*Q150+(2007+2*$D$4-$A150)/((2-1)*$D$4)*R150</f>
        <v>0</v>
      </c>
      <c r="AV150" s="5">
        <f>($A150-2008)/((2-1)*$D$4)*R150+(2008+2*$D$4-$A150)/((2-1)*$D$4)*S150</f>
        <v>0</v>
      </c>
      <c r="AW150" s="5">
        <f>($A150-2009)/((2-1)*$D$4)*S150+(2009+2*$D$4-$A150)/((2-1)*$D$4)*T150</f>
        <v>0</v>
      </c>
      <c r="AX150" s="5">
        <f>($A150-2010)/((2-1)*$D$4)*T150+(2010+2*$D$4-$A150)/((2-1)*$D$4)*U150</f>
        <v>0</v>
      </c>
      <c r="AY150" s="5">
        <f>($A150-2011)/((2-1)*$D$4)*U150+(2011+2*$D$4-$A150)/((2-1)*$D$4)*V150</f>
        <v>0</v>
      </c>
      <c r="AZ150" s="5">
        <f>($A150-2012)/((2-1)*$D$4)*V150+(2012+2*$D$4-$A150)/((2-1)*$D$4)*W150</f>
        <v>0</v>
      </c>
      <c r="BA150" s="5">
        <f>($A150-2013)/((2-1)*$D$4)*W150+(2013+2*$D$4-$A150)/((2-1)*$D$4)*X150</f>
        <v>0</v>
      </c>
      <c r="BB150" s="5">
        <f>($A150-2014)/((2-1)*$D$4)*X150+(2014+2*$D$4-$A150)/((2-1)*$D$4)*Y150</f>
        <v>0</v>
      </c>
      <c r="BC150" s="5">
        <f>($A150-2015)/((2-1)*$D$4)*Y150+(2015+2*$D$4-$A150)/((2-1)*$D$4)*Z150</f>
        <v>0</v>
      </c>
      <c r="BD150" s="5">
        <f>($A150-2016)/((2-1)*$D$4)*Z150+(2016+2*$D$4-$A150)/((2-1)*$D$4)*AA150</f>
        <v>0</v>
      </c>
      <c r="BE150" s="5">
        <f>($A150-2017)/((2-1)*$D$4)*AA150+(2017+2*$D$4-$A150)/((2-1)*$D$4)*AB150</f>
        <v>0</v>
      </c>
      <c r="BF150" s="5">
        <f>($A150-2018)/((2-1)*$D$4)*AB150+(2018+2*$D$4-$A150)/((2-1)*$D$4)*AC150</f>
        <v>0</v>
      </c>
      <c r="BG150" s="5">
        <f>($A150-2019)/((2-1)*$D$4)*AC150+(2019+2*$D$4-$A150)/((2-1)*$D$4)*AD150</f>
        <v>0</v>
      </c>
      <c r="BH150" s="5">
        <f>($A150-2020)/((2-1)*$D$4)*AD150+(2020+2*$D$4-$A150)/((2-1)*$D$4)*AE150</f>
        <v>0</v>
      </c>
      <c r="BI150" s="5">
        <f>($A150-1992)/((3-1)*$D$4)*AF150+(1992+3*$D$4-$A150)/((3-1)*$D$4)*AG150</f>
        <v>0</v>
      </c>
      <c r="BJ150" s="5">
        <f>($A150-1993)/((3-1)*$D$4)*AG150+(1993+3*$D$4-$A150)/((3-1)*$D$4)*AH150</f>
        <v>0.5</v>
      </c>
      <c r="BK150" s="5">
        <f>($A150-1994)/((3-1)*$D$4)*AH150+(1994+3*$D$4-$A150)/((3-1)*$D$4)*AI150</f>
        <v>0.5</v>
      </c>
      <c r="BL150" s="5">
        <f>($A150-1995)/((3-1)*$D$4)*AI150+(1995+3*$D$4-$A150)/((3-1)*$D$4)*AJ150</f>
        <v>0</v>
      </c>
      <c r="BM150" s="5">
        <f>($A150-1996)/((3-1)*$D$4)*AJ150+(1996+3*$D$4-$A150)/((3-1)*$D$4)*AK150</f>
        <v>0</v>
      </c>
      <c r="BN150" s="5">
        <f>($A150-1997)/((3-1)*$D$4)*AK150+(1997+3*$D$4-$A150)/((3-1)*$D$4)*AL150</f>
        <v>0</v>
      </c>
      <c r="BO150" s="5">
        <f>($A150-1998)/((3-1)*$D$4)*AL150+(1998+3*$D$4-$A150)/((3-1)*$D$4)*AM150</f>
        <v>0</v>
      </c>
      <c r="BP150" s="5">
        <f>($A150-1999)/((3-1)*$D$4)*AM150+(1999+3*$D$4-$A150)/((3-1)*$D$4)*AN150</f>
        <v>0</v>
      </c>
      <c r="BQ150" s="5">
        <f>($A150-2000)/((3-1)*$D$4)*AN150+(2000+3*$D$4-$A150)/((3-1)*$D$4)*AO150</f>
        <v>0</v>
      </c>
      <c r="BR150" s="5">
        <f>($A150-2001)/((3-1)*$D$4)*AO150+(2001+3*$D$4-$A150)/((3-1)*$D$4)*AP150</f>
        <v>0</v>
      </c>
      <c r="BS150" s="5">
        <f>($A150-2002)/((3-1)*$D$4)*AP150+(2002+3*$D$4-$A150)/((3-1)*$D$4)*AQ150</f>
        <v>0</v>
      </c>
      <c r="BT150" s="5">
        <f>($A150-2003)/((3-1)*$D$4)*AQ150+(2003+3*$D$4-$A150)/((3-1)*$D$4)*AR150</f>
        <v>0</v>
      </c>
      <c r="BU150" s="5">
        <f>($A150-2004)/((3-1)*$D$4)*AR150+(2004+3*$D$4-$A150)/((3-1)*$D$4)*AS150</f>
        <v>0</v>
      </c>
      <c r="BV150" s="5">
        <f>($A150-2005)/((3-1)*$D$4)*AS150+(2005+3*$D$4-$A150)/((3-1)*$D$4)*AT150</f>
        <v>0</v>
      </c>
      <c r="BW150" s="5">
        <f>($A150-2006)/((3-1)*$D$4)*AT150+(2006+3*$D$4-$A150)/((3-1)*$D$4)*AU150</f>
        <v>0</v>
      </c>
      <c r="BX150" s="5">
        <f>($A150-2007)/((3-1)*$D$4)*AU150+(2007+3*$D$4-$A150)/((3-1)*$D$4)*AV150</f>
        <v>0</v>
      </c>
      <c r="BY150" s="5">
        <f>($A150-2008)/((3-1)*$D$4)*AV150+(2008+3*$D$4-$A150)/((3-1)*$D$4)*AW150</f>
        <v>0</v>
      </c>
      <c r="BZ150" s="5">
        <f>($A150-2009)/((3-1)*$D$4)*AW150+(2009+3*$D$4-$A150)/((3-1)*$D$4)*AX150</f>
        <v>0</v>
      </c>
      <c r="CA150" s="5">
        <f>($A150-2010)/((3-1)*$D$4)*AX150+(2010+3*$D$4-$A150)/((3-1)*$D$4)*AY150</f>
        <v>0</v>
      </c>
      <c r="CB150" s="5">
        <f>($A150-2011)/((3-1)*$D$4)*AY150+(2011+3*$D$4-$A150)/((3-1)*$D$4)*AZ150</f>
        <v>0</v>
      </c>
      <c r="CC150" s="5">
        <f>($A150-2012)/((3-1)*$D$4)*AZ150+(2012+3*$D$4-$A150)/((3-1)*$D$4)*BA150</f>
        <v>0</v>
      </c>
      <c r="CD150" s="5">
        <f>($A150-2013)/((3-1)*$D$4)*BA150+(2013+3*$D$4-$A150)/((3-1)*$D$4)*BB150</f>
        <v>0</v>
      </c>
      <c r="CE150" s="5">
        <f>($A150-2014)/((3-1)*$D$4)*BB150+(2014+3*$D$4-$A150)/((3-1)*$D$4)*BC150</f>
        <v>0</v>
      </c>
      <c r="CF150" s="5">
        <f>($A150-2015)/((3-1)*$D$4)*BC150+(2015+3*$D$4-$A150)/((3-1)*$D$4)*BD150</f>
        <v>0</v>
      </c>
      <c r="CG150" s="5">
        <f>($A150-2016)/((3-1)*$D$4)*BD150+(2016+3*$D$4-$A150)/((3-1)*$D$4)*BE150</f>
        <v>0</v>
      </c>
      <c r="CH150" s="5">
        <f>($A150-2017)/((3-1)*$D$4)*BE150+(2017+3*$D$4-$A150)/((3-1)*$D$4)*BF150</f>
        <v>0</v>
      </c>
      <c r="CI150" s="5">
        <f>($A150-2018)/((3-1)*$D$4)*BF150+(2018+3*$D$4-$A150)/((3-1)*$D$4)*BG150</f>
        <v>0</v>
      </c>
      <c r="CJ150" s="5">
        <f>($A150-2019)/((3-1)*$D$4)*BG150+(2019+3*$D$4-$A150)/((3-1)*$D$4)*BH150</f>
        <v>0</v>
      </c>
      <c r="CK150" s="5">
        <f>($A150-1992)/((4-1)*$D$4)*BI150+(1992+4*$D$4-$A150)/((4-1)*$D$4)*BJ150</f>
        <v>0.16666666666666666</v>
      </c>
      <c r="CL150" s="5">
        <f>($A150-1993)/((4-1)*$D$4)*BJ150+(1993+4*$D$4-$A150)/((4-1)*$D$4)*BK150</f>
        <v>0.66666666666666663</v>
      </c>
      <c r="CM150" s="5">
        <f>($A150-1994)/((4-1)*$D$4)*BK150+(1994+4*$D$4-$A150)/((4-1)*$D$4)*BL150</f>
        <v>0.16666666666666666</v>
      </c>
      <c r="CN150" s="5">
        <f>($A150-1995)/((4-1)*$D$4)*BL150+(1995+4*$D$4-$A150)/((4-1)*$D$4)*BM150</f>
        <v>0</v>
      </c>
      <c r="CO150" s="5">
        <f>($A150-1996)/((4-1)*$D$4)*BM150+(1996+4*$D$4-$A150)/((4-1)*$D$4)*BN150</f>
        <v>0</v>
      </c>
      <c r="CP150" s="5">
        <f>($A150-1997)/((4-1)*$D$4)*BN150+(1997+4*$D$4-$A150)/((4-1)*$D$4)*BO150</f>
        <v>0</v>
      </c>
      <c r="CQ150" s="5">
        <f>($A150-1998)/((4-1)*$D$4)*BO150+(1998+4*$D$4-$A150)/((4-1)*$D$4)*BP150</f>
        <v>0</v>
      </c>
      <c r="CR150" s="5">
        <f>($A150-1999)/((4-1)*$D$4)*BP150+(1999+4*$D$4-$A150)/((4-1)*$D$4)*BQ150</f>
        <v>0</v>
      </c>
      <c r="CS150" s="5">
        <f>($A150-2000)/((4-1)*$D$4)*BQ150+(2000+4*$D$4-$A150)/((4-1)*$D$4)*BR150</f>
        <v>0</v>
      </c>
      <c r="CT150" s="5">
        <f>($A150-2001)/((4-1)*$D$4)*BR150+(2001+4*$D$4-$A150)/((4-1)*$D$4)*BS150</f>
        <v>0</v>
      </c>
      <c r="CU150" s="5">
        <f>($A150-2002)/((4-1)*$D$4)*BS150+(2002+4*$D$4-$A150)/((4-1)*$D$4)*BT150</f>
        <v>0</v>
      </c>
      <c r="CV150" s="5">
        <f>($A150-2003)/((4-1)*$D$4)*BT150+(2003+4*$D$4-$A150)/((4-1)*$D$4)*BU150</f>
        <v>0</v>
      </c>
      <c r="CW150" s="5">
        <f>($A150-2004)/((4-1)*$D$4)*BU150+(2004+4*$D$4-$A150)/((4-1)*$D$4)*BV150</f>
        <v>0</v>
      </c>
      <c r="CX150" s="5">
        <f>($A150-2005)/((4-1)*$D$4)*BV150+(2005+4*$D$4-$A150)/((4-1)*$D$4)*BW150</f>
        <v>0</v>
      </c>
      <c r="CY150" s="5">
        <f>($A150-2006)/((4-1)*$D$4)*BW150+(2006+4*$D$4-$A150)/((4-1)*$D$4)*BX150</f>
        <v>0</v>
      </c>
      <c r="CZ150" s="5">
        <f>($A150-2007)/((4-1)*$D$4)*BX150+(2007+4*$D$4-$A150)/((4-1)*$D$4)*BY150</f>
        <v>0</v>
      </c>
      <c r="DA150" s="5">
        <f>($A150-2008)/((4-1)*$D$4)*BY150+(2008+4*$D$4-$A150)/((4-1)*$D$4)*BZ150</f>
        <v>0</v>
      </c>
      <c r="DB150" s="5">
        <f>($A150-2009)/((4-1)*$D$4)*BZ150+(2009+4*$D$4-$A150)/((4-1)*$D$4)*CA150</f>
        <v>0</v>
      </c>
      <c r="DC150" s="5">
        <f>($A150-2010)/((4-1)*$D$4)*CA150+(2010+4*$D$4-$A150)/((4-1)*$D$4)*CB150</f>
        <v>0</v>
      </c>
      <c r="DD150" s="5">
        <f>($A150-2011)/((4-1)*$D$4)*CB150+(2011+4*$D$4-$A150)/((4-1)*$D$4)*CC150</f>
        <v>0</v>
      </c>
      <c r="DE150" s="5">
        <f>($A150-2012)/((4-1)*$D$4)*CC150+(2012+4*$D$4-$A150)/((4-1)*$D$4)*CD150</f>
        <v>0</v>
      </c>
      <c r="DF150" s="5">
        <f>($A150-2013)/((4-1)*$D$4)*CD150+(2013+4*$D$4-$A150)/((4-1)*$D$4)*CE150</f>
        <v>0</v>
      </c>
      <c r="DG150" s="5">
        <f>($A150-2014)/((4-1)*$D$4)*CE150+(2014+4*$D$4-$A150)/((4-1)*$D$4)*CF150</f>
        <v>0</v>
      </c>
      <c r="DH150" s="5">
        <f>($A150-2015)/((4-1)*$D$4)*CF150+(2015+4*$D$4-$A150)/((4-1)*$D$4)*CG150</f>
        <v>0</v>
      </c>
      <c r="DI150" s="5">
        <f>($A150-2016)/((4-1)*$D$4)*CG150+(2016+4*$D$4-$A150)/((4-1)*$D$4)*CH150</f>
        <v>0</v>
      </c>
      <c r="DJ150" s="5">
        <f>($A150-2017)/((4-1)*$D$4)*CH150+(2017+4*$D$4-$A150)/((4-1)*$D$4)*CI150</f>
        <v>0</v>
      </c>
      <c r="DK150" s="5">
        <f>($A150-2018)/((4-1)*$D$4)*CI150+(2018+4*$D$4-$A150)/((4-1)*$D$4)*CJ150</f>
        <v>0</v>
      </c>
    </row>
    <row r="151">
      <c r="A151" s="3" t="n">
        <v>1996</v>
      </c>
      <c r="B151" s="5">
        <f>IF(AND($A151&gt;=1992,$A151&lt;1993),1,0)</f>
        <v>0</v>
      </c>
      <c r="C151" s="5">
        <f>IF(AND($A151&gt;=1993,$A151&lt;1994),1,0)</f>
        <v>0</v>
      </c>
      <c r="D151" s="5">
        <f>IF(AND($A151&gt;=1994,$A151&lt;1995),1,0)</f>
        <v>0</v>
      </c>
      <c r="E151" s="5">
        <f>IF(AND($A151&gt;=1995,$A151&lt;1996),1,0)</f>
        <v>0</v>
      </c>
      <c r="F151" s="5">
        <f>IF(AND($A151&gt;=1996,$A151&lt;1997),1,0)</f>
        <v>1</v>
      </c>
      <c r="G151" s="5">
        <f>IF(AND($A151&gt;=1997,$A151&lt;1998),1,0)</f>
        <v>0</v>
      </c>
      <c r="H151" s="5">
        <f>IF(AND($A151&gt;=1998,$A151&lt;1999),1,0)</f>
        <v>0</v>
      </c>
      <c r="I151" s="5">
        <f>IF(AND($A151&gt;=1999,$A151&lt;2000),1,0)</f>
        <v>0</v>
      </c>
      <c r="J151" s="5">
        <f>IF(AND($A151&gt;=2000,$A151&lt;2001),1,0)</f>
        <v>0</v>
      </c>
      <c r="K151" s="5">
        <f>IF(AND($A151&gt;=2001,$A151&lt;2002),1,0)</f>
        <v>0</v>
      </c>
      <c r="L151" s="5">
        <f>IF(AND($A151&gt;=2002,$A151&lt;2003),1,0)</f>
        <v>0</v>
      </c>
      <c r="M151" s="5">
        <f>IF(AND($A151&gt;=2003,$A151&lt;2004),1,0)</f>
        <v>0</v>
      </c>
      <c r="N151" s="5">
        <f>IF(AND($A151&gt;=2004,$A151&lt;2005),1,0)</f>
        <v>0</v>
      </c>
      <c r="O151" s="5">
        <f>IF(AND($A151&gt;=2005,$A151&lt;2006),1,0)</f>
        <v>0</v>
      </c>
      <c r="P151" s="5">
        <f>IF(AND($A151&gt;=2006,$A151&lt;2007),1,0)</f>
        <v>0</v>
      </c>
      <c r="Q151" s="5">
        <f>IF(AND($A151&gt;=2007,$A151&lt;2008),1,0)</f>
        <v>0</v>
      </c>
      <c r="R151" s="5">
        <f>IF(AND($A151&gt;=2008,$A151&lt;2009),1,0)</f>
        <v>0</v>
      </c>
      <c r="S151" s="5">
        <f>IF(AND($A151&gt;=2009,$A151&lt;2010),1,0)</f>
        <v>0</v>
      </c>
      <c r="T151" s="5">
        <f>IF(AND($A151&gt;=2010,$A151&lt;2011),1,0)</f>
        <v>0</v>
      </c>
      <c r="U151" s="5">
        <f>IF(AND($A151&gt;=2011,$A151&lt;2012),1,0)</f>
        <v>0</v>
      </c>
      <c r="V151" s="5">
        <f>IF(AND($A151&gt;=2012,$A151&lt;2013),1,0)</f>
        <v>0</v>
      </c>
      <c r="W151" s="5">
        <f>IF(AND($A151&gt;=2013,$A151&lt;2014),1,0)</f>
        <v>0</v>
      </c>
      <c r="X151" s="5">
        <f>IF(AND($A151&gt;=2014,$A151&lt;2015),1,0)</f>
        <v>0</v>
      </c>
      <c r="Y151" s="5">
        <f>IF(AND($A151&gt;=2015,$A151&lt;2016),1,0)</f>
        <v>0</v>
      </c>
      <c r="Z151" s="5">
        <f>IF(AND($A151&gt;=2016,$A151&lt;2017),1,0)</f>
        <v>0</v>
      </c>
      <c r="AA151" s="5">
        <f>IF(AND($A151&gt;=2017,$A151&lt;2018),1,0)</f>
        <v>0</v>
      </c>
      <c r="AB151" s="5">
        <f>IF(AND($A151&gt;=2018,$A151&lt;2019),1,0)</f>
        <v>0</v>
      </c>
      <c r="AC151" s="5">
        <f>IF(AND($A151&gt;=2019,$A151&lt;2020),1,0)</f>
        <v>0</v>
      </c>
      <c r="AD151" s="5">
        <f>IF(AND($A151&gt;=2020,$A151&lt;2021),1,0)</f>
        <v>0</v>
      </c>
      <c r="AE151" s="5">
        <f>IF(AND($A151&gt;=2021,$A151&lt;2022),1,0)</f>
        <v>0</v>
      </c>
      <c r="AF151" s="5">
        <f>($A151-1992)/((2-1)*$D$4)*B151+(1992+2*$D$4-$A151)/((2-1)*$D$4)*C151</f>
        <v>0</v>
      </c>
      <c r="AG151" s="5">
        <f>($A151-1993)/((2-1)*$D$4)*C151+(1993+2*$D$4-$A151)/((2-1)*$D$4)*D151</f>
        <v>0</v>
      </c>
      <c r="AH151" s="5">
        <f>($A151-1994)/((2-1)*$D$4)*D151+(1994+2*$D$4-$A151)/((2-1)*$D$4)*E151</f>
        <v>0</v>
      </c>
      <c r="AI151" s="5">
        <f>($A151-1995)/((2-1)*$D$4)*E151+(1995+2*$D$4-$A151)/((2-1)*$D$4)*F151</f>
        <v>1</v>
      </c>
      <c r="AJ151" s="5">
        <f>($A151-1996)/((2-1)*$D$4)*F151+(1996+2*$D$4-$A151)/((2-1)*$D$4)*G151</f>
        <v>0</v>
      </c>
      <c r="AK151" s="5">
        <f>($A151-1997)/((2-1)*$D$4)*G151+(1997+2*$D$4-$A151)/((2-1)*$D$4)*H151</f>
        <v>0</v>
      </c>
      <c r="AL151" s="5">
        <f>($A151-1998)/((2-1)*$D$4)*H151+(1998+2*$D$4-$A151)/((2-1)*$D$4)*I151</f>
        <v>0</v>
      </c>
      <c r="AM151" s="5">
        <f>($A151-1999)/((2-1)*$D$4)*I151+(1999+2*$D$4-$A151)/((2-1)*$D$4)*J151</f>
        <v>0</v>
      </c>
      <c r="AN151" s="5">
        <f>($A151-2000)/((2-1)*$D$4)*J151+(2000+2*$D$4-$A151)/((2-1)*$D$4)*K151</f>
        <v>0</v>
      </c>
      <c r="AO151" s="5">
        <f>($A151-2001)/((2-1)*$D$4)*K151+(2001+2*$D$4-$A151)/((2-1)*$D$4)*L151</f>
        <v>0</v>
      </c>
      <c r="AP151" s="5">
        <f>($A151-2002)/((2-1)*$D$4)*L151+(2002+2*$D$4-$A151)/((2-1)*$D$4)*M151</f>
        <v>0</v>
      </c>
      <c r="AQ151" s="5">
        <f>($A151-2003)/((2-1)*$D$4)*M151+(2003+2*$D$4-$A151)/((2-1)*$D$4)*N151</f>
        <v>0</v>
      </c>
      <c r="AR151" s="5">
        <f>($A151-2004)/((2-1)*$D$4)*N151+(2004+2*$D$4-$A151)/((2-1)*$D$4)*O151</f>
        <v>0</v>
      </c>
      <c r="AS151" s="5">
        <f>($A151-2005)/((2-1)*$D$4)*O151+(2005+2*$D$4-$A151)/((2-1)*$D$4)*P151</f>
        <v>0</v>
      </c>
      <c r="AT151" s="5">
        <f>($A151-2006)/((2-1)*$D$4)*P151+(2006+2*$D$4-$A151)/((2-1)*$D$4)*Q151</f>
        <v>0</v>
      </c>
      <c r="AU151" s="5">
        <f>($A151-2007)/((2-1)*$D$4)*Q151+(2007+2*$D$4-$A151)/((2-1)*$D$4)*R151</f>
        <v>0</v>
      </c>
      <c r="AV151" s="5">
        <f>($A151-2008)/((2-1)*$D$4)*R151+(2008+2*$D$4-$A151)/((2-1)*$D$4)*S151</f>
        <v>0</v>
      </c>
      <c r="AW151" s="5">
        <f>($A151-2009)/((2-1)*$D$4)*S151+(2009+2*$D$4-$A151)/((2-1)*$D$4)*T151</f>
        <v>0</v>
      </c>
      <c r="AX151" s="5">
        <f>($A151-2010)/((2-1)*$D$4)*T151+(2010+2*$D$4-$A151)/((2-1)*$D$4)*U151</f>
        <v>0</v>
      </c>
      <c r="AY151" s="5">
        <f>($A151-2011)/((2-1)*$D$4)*U151+(2011+2*$D$4-$A151)/((2-1)*$D$4)*V151</f>
        <v>0</v>
      </c>
      <c r="AZ151" s="5">
        <f>($A151-2012)/((2-1)*$D$4)*V151+(2012+2*$D$4-$A151)/((2-1)*$D$4)*W151</f>
        <v>0</v>
      </c>
      <c r="BA151" s="5">
        <f>($A151-2013)/((2-1)*$D$4)*W151+(2013+2*$D$4-$A151)/((2-1)*$D$4)*X151</f>
        <v>0</v>
      </c>
      <c r="BB151" s="5">
        <f>($A151-2014)/((2-1)*$D$4)*X151+(2014+2*$D$4-$A151)/((2-1)*$D$4)*Y151</f>
        <v>0</v>
      </c>
      <c r="BC151" s="5">
        <f>($A151-2015)/((2-1)*$D$4)*Y151+(2015+2*$D$4-$A151)/((2-1)*$D$4)*Z151</f>
        <v>0</v>
      </c>
      <c r="BD151" s="5">
        <f>($A151-2016)/((2-1)*$D$4)*Z151+(2016+2*$D$4-$A151)/((2-1)*$D$4)*AA151</f>
        <v>0</v>
      </c>
      <c r="BE151" s="5">
        <f>($A151-2017)/((2-1)*$D$4)*AA151+(2017+2*$D$4-$A151)/((2-1)*$D$4)*AB151</f>
        <v>0</v>
      </c>
      <c r="BF151" s="5">
        <f>($A151-2018)/((2-1)*$D$4)*AB151+(2018+2*$D$4-$A151)/((2-1)*$D$4)*AC151</f>
        <v>0</v>
      </c>
      <c r="BG151" s="5">
        <f>($A151-2019)/((2-1)*$D$4)*AC151+(2019+2*$D$4-$A151)/((2-1)*$D$4)*AD151</f>
        <v>0</v>
      </c>
      <c r="BH151" s="5">
        <f>($A151-2020)/((2-1)*$D$4)*AD151+(2020+2*$D$4-$A151)/((2-1)*$D$4)*AE151</f>
        <v>0</v>
      </c>
      <c r="BI151" s="5">
        <f>($A151-1992)/((3-1)*$D$4)*AF151+(1992+3*$D$4-$A151)/((3-1)*$D$4)*AG151</f>
        <v>0</v>
      </c>
      <c r="BJ151" s="5">
        <f>($A151-1993)/((3-1)*$D$4)*AG151+(1993+3*$D$4-$A151)/((3-1)*$D$4)*AH151</f>
        <v>0</v>
      </c>
      <c r="BK151" s="5">
        <f>($A151-1994)/((3-1)*$D$4)*AH151+(1994+3*$D$4-$A151)/((3-1)*$D$4)*AI151</f>
        <v>0.5</v>
      </c>
      <c r="BL151" s="5">
        <f>($A151-1995)/((3-1)*$D$4)*AI151+(1995+3*$D$4-$A151)/((3-1)*$D$4)*AJ151</f>
        <v>0.5</v>
      </c>
      <c r="BM151" s="5">
        <f>($A151-1996)/((3-1)*$D$4)*AJ151+(1996+3*$D$4-$A151)/((3-1)*$D$4)*AK151</f>
        <v>0</v>
      </c>
      <c r="BN151" s="5">
        <f>($A151-1997)/((3-1)*$D$4)*AK151+(1997+3*$D$4-$A151)/((3-1)*$D$4)*AL151</f>
        <v>0</v>
      </c>
      <c r="BO151" s="5">
        <f>($A151-1998)/((3-1)*$D$4)*AL151+(1998+3*$D$4-$A151)/((3-1)*$D$4)*AM151</f>
        <v>0</v>
      </c>
      <c r="BP151" s="5">
        <f>($A151-1999)/((3-1)*$D$4)*AM151+(1999+3*$D$4-$A151)/((3-1)*$D$4)*AN151</f>
        <v>0</v>
      </c>
      <c r="BQ151" s="5">
        <f>($A151-2000)/((3-1)*$D$4)*AN151+(2000+3*$D$4-$A151)/((3-1)*$D$4)*AO151</f>
        <v>0</v>
      </c>
      <c r="BR151" s="5">
        <f>($A151-2001)/((3-1)*$D$4)*AO151+(2001+3*$D$4-$A151)/((3-1)*$D$4)*AP151</f>
        <v>0</v>
      </c>
      <c r="BS151" s="5">
        <f>($A151-2002)/((3-1)*$D$4)*AP151+(2002+3*$D$4-$A151)/((3-1)*$D$4)*AQ151</f>
        <v>0</v>
      </c>
      <c r="BT151" s="5">
        <f>($A151-2003)/((3-1)*$D$4)*AQ151+(2003+3*$D$4-$A151)/((3-1)*$D$4)*AR151</f>
        <v>0</v>
      </c>
      <c r="BU151" s="5">
        <f>($A151-2004)/((3-1)*$D$4)*AR151+(2004+3*$D$4-$A151)/((3-1)*$D$4)*AS151</f>
        <v>0</v>
      </c>
      <c r="BV151" s="5">
        <f>($A151-2005)/((3-1)*$D$4)*AS151+(2005+3*$D$4-$A151)/((3-1)*$D$4)*AT151</f>
        <v>0</v>
      </c>
      <c r="BW151" s="5">
        <f>($A151-2006)/((3-1)*$D$4)*AT151+(2006+3*$D$4-$A151)/((3-1)*$D$4)*AU151</f>
        <v>0</v>
      </c>
      <c r="BX151" s="5">
        <f>($A151-2007)/((3-1)*$D$4)*AU151+(2007+3*$D$4-$A151)/((3-1)*$D$4)*AV151</f>
        <v>0</v>
      </c>
      <c r="BY151" s="5">
        <f>($A151-2008)/((3-1)*$D$4)*AV151+(2008+3*$D$4-$A151)/((3-1)*$D$4)*AW151</f>
        <v>0</v>
      </c>
      <c r="BZ151" s="5">
        <f>($A151-2009)/((3-1)*$D$4)*AW151+(2009+3*$D$4-$A151)/((3-1)*$D$4)*AX151</f>
        <v>0</v>
      </c>
      <c r="CA151" s="5">
        <f>($A151-2010)/((3-1)*$D$4)*AX151+(2010+3*$D$4-$A151)/((3-1)*$D$4)*AY151</f>
        <v>0</v>
      </c>
      <c r="CB151" s="5">
        <f>($A151-2011)/((3-1)*$D$4)*AY151+(2011+3*$D$4-$A151)/((3-1)*$D$4)*AZ151</f>
        <v>0</v>
      </c>
      <c r="CC151" s="5">
        <f>($A151-2012)/((3-1)*$D$4)*AZ151+(2012+3*$D$4-$A151)/((3-1)*$D$4)*BA151</f>
        <v>0</v>
      </c>
      <c r="CD151" s="5">
        <f>($A151-2013)/((3-1)*$D$4)*BA151+(2013+3*$D$4-$A151)/((3-1)*$D$4)*BB151</f>
        <v>0</v>
      </c>
      <c r="CE151" s="5">
        <f>($A151-2014)/((3-1)*$D$4)*BB151+(2014+3*$D$4-$A151)/((3-1)*$D$4)*BC151</f>
        <v>0</v>
      </c>
      <c r="CF151" s="5">
        <f>($A151-2015)/((3-1)*$D$4)*BC151+(2015+3*$D$4-$A151)/((3-1)*$D$4)*BD151</f>
        <v>0</v>
      </c>
      <c r="CG151" s="5">
        <f>($A151-2016)/((3-1)*$D$4)*BD151+(2016+3*$D$4-$A151)/((3-1)*$D$4)*BE151</f>
        <v>0</v>
      </c>
      <c r="CH151" s="5">
        <f>($A151-2017)/((3-1)*$D$4)*BE151+(2017+3*$D$4-$A151)/((3-1)*$D$4)*BF151</f>
        <v>0</v>
      </c>
      <c r="CI151" s="5">
        <f>($A151-2018)/((3-1)*$D$4)*BF151+(2018+3*$D$4-$A151)/((3-1)*$D$4)*BG151</f>
        <v>0</v>
      </c>
      <c r="CJ151" s="5">
        <f>($A151-2019)/((3-1)*$D$4)*BG151+(2019+3*$D$4-$A151)/((3-1)*$D$4)*BH151</f>
        <v>0</v>
      </c>
      <c r="CK151" s="5">
        <f>($A151-1992)/((4-1)*$D$4)*BI151+(1992+4*$D$4-$A151)/((4-1)*$D$4)*BJ151</f>
        <v>0</v>
      </c>
      <c r="CL151" s="5">
        <f>($A151-1993)/((4-1)*$D$4)*BJ151+(1993+4*$D$4-$A151)/((4-1)*$D$4)*BK151</f>
        <v>0.16666666666666666</v>
      </c>
      <c r="CM151" s="5">
        <f>($A151-1994)/((4-1)*$D$4)*BK151+(1994+4*$D$4-$A151)/((4-1)*$D$4)*BL151</f>
        <v>0.66666666666666663</v>
      </c>
      <c r="CN151" s="5">
        <f>($A151-1995)/((4-1)*$D$4)*BL151+(1995+4*$D$4-$A151)/((4-1)*$D$4)*BM151</f>
        <v>0.16666666666666666</v>
      </c>
      <c r="CO151" s="5">
        <f>($A151-1996)/((4-1)*$D$4)*BM151+(1996+4*$D$4-$A151)/((4-1)*$D$4)*BN151</f>
        <v>0</v>
      </c>
      <c r="CP151" s="5">
        <f>($A151-1997)/((4-1)*$D$4)*BN151+(1997+4*$D$4-$A151)/((4-1)*$D$4)*BO151</f>
        <v>0</v>
      </c>
      <c r="CQ151" s="5">
        <f>($A151-1998)/((4-1)*$D$4)*BO151+(1998+4*$D$4-$A151)/((4-1)*$D$4)*BP151</f>
        <v>0</v>
      </c>
      <c r="CR151" s="5">
        <f>($A151-1999)/((4-1)*$D$4)*BP151+(1999+4*$D$4-$A151)/((4-1)*$D$4)*BQ151</f>
        <v>0</v>
      </c>
      <c r="CS151" s="5">
        <f>($A151-2000)/((4-1)*$D$4)*BQ151+(2000+4*$D$4-$A151)/((4-1)*$D$4)*BR151</f>
        <v>0</v>
      </c>
      <c r="CT151" s="5">
        <f>($A151-2001)/((4-1)*$D$4)*BR151+(2001+4*$D$4-$A151)/((4-1)*$D$4)*BS151</f>
        <v>0</v>
      </c>
      <c r="CU151" s="5">
        <f>($A151-2002)/((4-1)*$D$4)*BS151+(2002+4*$D$4-$A151)/((4-1)*$D$4)*BT151</f>
        <v>0</v>
      </c>
      <c r="CV151" s="5">
        <f>($A151-2003)/((4-1)*$D$4)*BT151+(2003+4*$D$4-$A151)/((4-1)*$D$4)*BU151</f>
        <v>0</v>
      </c>
      <c r="CW151" s="5">
        <f>($A151-2004)/((4-1)*$D$4)*BU151+(2004+4*$D$4-$A151)/((4-1)*$D$4)*BV151</f>
        <v>0</v>
      </c>
      <c r="CX151" s="5">
        <f>($A151-2005)/((4-1)*$D$4)*BV151+(2005+4*$D$4-$A151)/((4-1)*$D$4)*BW151</f>
        <v>0</v>
      </c>
      <c r="CY151" s="5">
        <f>($A151-2006)/((4-1)*$D$4)*BW151+(2006+4*$D$4-$A151)/((4-1)*$D$4)*BX151</f>
        <v>0</v>
      </c>
      <c r="CZ151" s="5">
        <f>($A151-2007)/((4-1)*$D$4)*BX151+(2007+4*$D$4-$A151)/((4-1)*$D$4)*BY151</f>
        <v>0</v>
      </c>
      <c r="DA151" s="5">
        <f>($A151-2008)/((4-1)*$D$4)*BY151+(2008+4*$D$4-$A151)/((4-1)*$D$4)*BZ151</f>
        <v>0</v>
      </c>
      <c r="DB151" s="5">
        <f>($A151-2009)/((4-1)*$D$4)*BZ151+(2009+4*$D$4-$A151)/((4-1)*$D$4)*CA151</f>
        <v>0</v>
      </c>
      <c r="DC151" s="5">
        <f>($A151-2010)/((4-1)*$D$4)*CA151+(2010+4*$D$4-$A151)/((4-1)*$D$4)*CB151</f>
        <v>0</v>
      </c>
      <c r="DD151" s="5">
        <f>($A151-2011)/((4-1)*$D$4)*CB151+(2011+4*$D$4-$A151)/((4-1)*$D$4)*CC151</f>
        <v>0</v>
      </c>
      <c r="DE151" s="5">
        <f>($A151-2012)/((4-1)*$D$4)*CC151+(2012+4*$D$4-$A151)/((4-1)*$D$4)*CD151</f>
        <v>0</v>
      </c>
      <c r="DF151" s="5">
        <f>($A151-2013)/((4-1)*$D$4)*CD151+(2013+4*$D$4-$A151)/((4-1)*$D$4)*CE151</f>
        <v>0</v>
      </c>
      <c r="DG151" s="5">
        <f>($A151-2014)/((4-1)*$D$4)*CE151+(2014+4*$D$4-$A151)/((4-1)*$D$4)*CF151</f>
        <v>0</v>
      </c>
      <c r="DH151" s="5">
        <f>($A151-2015)/((4-1)*$D$4)*CF151+(2015+4*$D$4-$A151)/((4-1)*$D$4)*CG151</f>
        <v>0</v>
      </c>
      <c r="DI151" s="5">
        <f>($A151-2016)/((4-1)*$D$4)*CG151+(2016+4*$D$4-$A151)/((4-1)*$D$4)*CH151</f>
        <v>0</v>
      </c>
      <c r="DJ151" s="5">
        <f>($A151-2017)/((4-1)*$D$4)*CH151+(2017+4*$D$4-$A151)/((4-1)*$D$4)*CI151</f>
        <v>0</v>
      </c>
      <c r="DK151" s="5">
        <f>($A151-2018)/((4-1)*$D$4)*CI151+(2018+4*$D$4-$A151)/((4-1)*$D$4)*CJ151</f>
        <v>0</v>
      </c>
    </row>
    <row r="152">
      <c r="A152" s="3" t="n">
        <v>1997</v>
      </c>
      <c r="B152" s="5">
        <f>IF(AND($A152&gt;=1992,$A152&lt;1993),1,0)</f>
        <v>0</v>
      </c>
      <c r="C152" s="5">
        <f>IF(AND($A152&gt;=1993,$A152&lt;1994),1,0)</f>
        <v>0</v>
      </c>
      <c r="D152" s="5">
        <f>IF(AND($A152&gt;=1994,$A152&lt;1995),1,0)</f>
        <v>0</v>
      </c>
      <c r="E152" s="5">
        <f>IF(AND($A152&gt;=1995,$A152&lt;1996),1,0)</f>
        <v>0</v>
      </c>
      <c r="F152" s="5">
        <f>IF(AND($A152&gt;=1996,$A152&lt;1997),1,0)</f>
        <v>0</v>
      </c>
      <c r="G152" s="5">
        <f>IF(AND($A152&gt;=1997,$A152&lt;1998),1,0)</f>
        <v>1</v>
      </c>
      <c r="H152" s="5">
        <f>IF(AND($A152&gt;=1998,$A152&lt;1999),1,0)</f>
        <v>0</v>
      </c>
      <c r="I152" s="5">
        <f>IF(AND($A152&gt;=1999,$A152&lt;2000),1,0)</f>
        <v>0</v>
      </c>
      <c r="J152" s="5">
        <f>IF(AND($A152&gt;=2000,$A152&lt;2001),1,0)</f>
        <v>0</v>
      </c>
      <c r="K152" s="5">
        <f>IF(AND($A152&gt;=2001,$A152&lt;2002),1,0)</f>
        <v>0</v>
      </c>
      <c r="L152" s="5">
        <f>IF(AND($A152&gt;=2002,$A152&lt;2003),1,0)</f>
        <v>0</v>
      </c>
      <c r="M152" s="5">
        <f>IF(AND($A152&gt;=2003,$A152&lt;2004),1,0)</f>
        <v>0</v>
      </c>
      <c r="N152" s="5">
        <f>IF(AND($A152&gt;=2004,$A152&lt;2005),1,0)</f>
        <v>0</v>
      </c>
      <c r="O152" s="5">
        <f>IF(AND($A152&gt;=2005,$A152&lt;2006),1,0)</f>
        <v>0</v>
      </c>
      <c r="P152" s="5">
        <f>IF(AND($A152&gt;=2006,$A152&lt;2007),1,0)</f>
        <v>0</v>
      </c>
      <c r="Q152" s="5">
        <f>IF(AND($A152&gt;=2007,$A152&lt;2008),1,0)</f>
        <v>0</v>
      </c>
      <c r="R152" s="5">
        <f>IF(AND($A152&gt;=2008,$A152&lt;2009),1,0)</f>
        <v>0</v>
      </c>
      <c r="S152" s="5">
        <f>IF(AND($A152&gt;=2009,$A152&lt;2010),1,0)</f>
        <v>0</v>
      </c>
      <c r="T152" s="5">
        <f>IF(AND($A152&gt;=2010,$A152&lt;2011),1,0)</f>
        <v>0</v>
      </c>
      <c r="U152" s="5">
        <f>IF(AND($A152&gt;=2011,$A152&lt;2012),1,0)</f>
        <v>0</v>
      </c>
      <c r="V152" s="5">
        <f>IF(AND($A152&gt;=2012,$A152&lt;2013),1,0)</f>
        <v>0</v>
      </c>
      <c r="W152" s="5">
        <f>IF(AND($A152&gt;=2013,$A152&lt;2014),1,0)</f>
        <v>0</v>
      </c>
      <c r="X152" s="5">
        <f>IF(AND($A152&gt;=2014,$A152&lt;2015),1,0)</f>
        <v>0</v>
      </c>
      <c r="Y152" s="5">
        <f>IF(AND($A152&gt;=2015,$A152&lt;2016),1,0)</f>
        <v>0</v>
      </c>
      <c r="Z152" s="5">
        <f>IF(AND($A152&gt;=2016,$A152&lt;2017),1,0)</f>
        <v>0</v>
      </c>
      <c r="AA152" s="5">
        <f>IF(AND($A152&gt;=2017,$A152&lt;2018),1,0)</f>
        <v>0</v>
      </c>
      <c r="AB152" s="5">
        <f>IF(AND($A152&gt;=2018,$A152&lt;2019),1,0)</f>
        <v>0</v>
      </c>
      <c r="AC152" s="5">
        <f>IF(AND($A152&gt;=2019,$A152&lt;2020),1,0)</f>
        <v>0</v>
      </c>
      <c r="AD152" s="5">
        <f>IF(AND($A152&gt;=2020,$A152&lt;2021),1,0)</f>
        <v>0</v>
      </c>
      <c r="AE152" s="5">
        <f>IF(AND($A152&gt;=2021,$A152&lt;2022),1,0)</f>
        <v>0</v>
      </c>
      <c r="AF152" s="5">
        <f>($A152-1992)/((2-1)*$D$4)*B152+(1992+2*$D$4-$A152)/((2-1)*$D$4)*C152</f>
        <v>0</v>
      </c>
      <c r="AG152" s="5">
        <f>($A152-1993)/((2-1)*$D$4)*C152+(1993+2*$D$4-$A152)/((2-1)*$D$4)*D152</f>
        <v>0</v>
      </c>
      <c r="AH152" s="5">
        <f>($A152-1994)/((2-1)*$D$4)*D152+(1994+2*$D$4-$A152)/((2-1)*$D$4)*E152</f>
        <v>0</v>
      </c>
      <c r="AI152" s="5">
        <f>($A152-1995)/((2-1)*$D$4)*E152+(1995+2*$D$4-$A152)/((2-1)*$D$4)*F152</f>
        <v>0</v>
      </c>
      <c r="AJ152" s="5">
        <f>($A152-1996)/((2-1)*$D$4)*F152+(1996+2*$D$4-$A152)/((2-1)*$D$4)*G152</f>
        <v>1</v>
      </c>
      <c r="AK152" s="5">
        <f>($A152-1997)/((2-1)*$D$4)*G152+(1997+2*$D$4-$A152)/((2-1)*$D$4)*H152</f>
        <v>0</v>
      </c>
      <c r="AL152" s="5">
        <f>($A152-1998)/((2-1)*$D$4)*H152+(1998+2*$D$4-$A152)/((2-1)*$D$4)*I152</f>
        <v>0</v>
      </c>
      <c r="AM152" s="5">
        <f>($A152-1999)/((2-1)*$D$4)*I152+(1999+2*$D$4-$A152)/((2-1)*$D$4)*J152</f>
        <v>0</v>
      </c>
      <c r="AN152" s="5">
        <f>($A152-2000)/((2-1)*$D$4)*J152+(2000+2*$D$4-$A152)/((2-1)*$D$4)*K152</f>
        <v>0</v>
      </c>
      <c r="AO152" s="5">
        <f>($A152-2001)/((2-1)*$D$4)*K152+(2001+2*$D$4-$A152)/((2-1)*$D$4)*L152</f>
        <v>0</v>
      </c>
      <c r="AP152" s="5">
        <f>($A152-2002)/((2-1)*$D$4)*L152+(2002+2*$D$4-$A152)/((2-1)*$D$4)*M152</f>
        <v>0</v>
      </c>
      <c r="AQ152" s="5">
        <f>($A152-2003)/((2-1)*$D$4)*M152+(2003+2*$D$4-$A152)/((2-1)*$D$4)*N152</f>
        <v>0</v>
      </c>
      <c r="AR152" s="5">
        <f>($A152-2004)/((2-1)*$D$4)*N152+(2004+2*$D$4-$A152)/((2-1)*$D$4)*O152</f>
        <v>0</v>
      </c>
      <c r="AS152" s="5">
        <f>($A152-2005)/((2-1)*$D$4)*O152+(2005+2*$D$4-$A152)/((2-1)*$D$4)*P152</f>
        <v>0</v>
      </c>
      <c r="AT152" s="5">
        <f>($A152-2006)/((2-1)*$D$4)*P152+(2006+2*$D$4-$A152)/((2-1)*$D$4)*Q152</f>
        <v>0</v>
      </c>
      <c r="AU152" s="5">
        <f>($A152-2007)/((2-1)*$D$4)*Q152+(2007+2*$D$4-$A152)/((2-1)*$D$4)*R152</f>
        <v>0</v>
      </c>
      <c r="AV152" s="5">
        <f>($A152-2008)/((2-1)*$D$4)*R152+(2008+2*$D$4-$A152)/((2-1)*$D$4)*S152</f>
        <v>0</v>
      </c>
      <c r="AW152" s="5">
        <f>($A152-2009)/((2-1)*$D$4)*S152+(2009+2*$D$4-$A152)/((2-1)*$D$4)*T152</f>
        <v>0</v>
      </c>
      <c r="AX152" s="5">
        <f>($A152-2010)/((2-1)*$D$4)*T152+(2010+2*$D$4-$A152)/((2-1)*$D$4)*U152</f>
        <v>0</v>
      </c>
      <c r="AY152" s="5">
        <f>($A152-2011)/((2-1)*$D$4)*U152+(2011+2*$D$4-$A152)/((2-1)*$D$4)*V152</f>
        <v>0</v>
      </c>
      <c r="AZ152" s="5">
        <f>($A152-2012)/((2-1)*$D$4)*V152+(2012+2*$D$4-$A152)/((2-1)*$D$4)*W152</f>
        <v>0</v>
      </c>
      <c r="BA152" s="5">
        <f>($A152-2013)/((2-1)*$D$4)*W152+(2013+2*$D$4-$A152)/((2-1)*$D$4)*X152</f>
        <v>0</v>
      </c>
      <c r="BB152" s="5">
        <f>($A152-2014)/((2-1)*$D$4)*X152+(2014+2*$D$4-$A152)/((2-1)*$D$4)*Y152</f>
        <v>0</v>
      </c>
      <c r="BC152" s="5">
        <f>($A152-2015)/((2-1)*$D$4)*Y152+(2015+2*$D$4-$A152)/((2-1)*$D$4)*Z152</f>
        <v>0</v>
      </c>
      <c r="BD152" s="5">
        <f>($A152-2016)/((2-1)*$D$4)*Z152+(2016+2*$D$4-$A152)/((2-1)*$D$4)*AA152</f>
        <v>0</v>
      </c>
      <c r="BE152" s="5">
        <f>($A152-2017)/((2-1)*$D$4)*AA152+(2017+2*$D$4-$A152)/((2-1)*$D$4)*AB152</f>
        <v>0</v>
      </c>
      <c r="BF152" s="5">
        <f>($A152-2018)/((2-1)*$D$4)*AB152+(2018+2*$D$4-$A152)/((2-1)*$D$4)*AC152</f>
        <v>0</v>
      </c>
      <c r="BG152" s="5">
        <f>($A152-2019)/((2-1)*$D$4)*AC152+(2019+2*$D$4-$A152)/((2-1)*$D$4)*AD152</f>
        <v>0</v>
      </c>
      <c r="BH152" s="5">
        <f>($A152-2020)/((2-1)*$D$4)*AD152+(2020+2*$D$4-$A152)/((2-1)*$D$4)*AE152</f>
        <v>0</v>
      </c>
      <c r="BI152" s="5">
        <f>($A152-1992)/((3-1)*$D$4)*AF152+(1992+3*$D$4-$A152)/((3-1)*$D$4)*AG152</f>
        <v>0</v>
      </c>
      <c r="BJ152" s="5">
        <f>($A152-1993)/((3-1)*$D$4)*AG152+(1993+3*$D$4-$A152)/((3-1)*$D$4)*AH152</f>
        <v>0</v>
      </c>
      <c r="BK152" s="5">
        <f>($A152-1994)/((3-1)*$D$4)*AH152+(1994+3*$D$4-$A152)/((3-1)*$D$4)*AI152</f>
        <v>0</v>
      </c>
      <c r="BL152" s="5">
        <f>($A152-1995)/((3-1)*$D$4)*AI152+(1995+3*$D$4-$A152)/((3-1)*$D$4)*AJ152</f>
        <v>0.5</v>
      </c>
      <c r="BM152" s="5">
        <f>($A152-1996)/((3-1)*$D$4)*AJ152+(1996+3*$D$4-$A152)/((3-1)*$D$4)*AK152</f>
        <v>0.5</v>
      </c>
      <c r="BN152" s="5">
        <f>($A152-1997)/((3-1)*$D$4)*AK152+(1997+3*$D$4-$A152)/((3-1)*$D$4)*AL152</f>
        <v>0</v>
      </c>
      <c r="BO152" s="5">
        <f>($A152-1998)/((3-1)*$D$4)*AL152+(1998+3*$D$4-$A152)/((3-1)*$D$4)*AM152</f>
        <v>0</v>
      </c>
      <c r="BP152" s="5">
        <f>($A152-1999)/((3-1)*$D$4)*AM152+(1999+3*$D$4-$A152)/((3-1)*$D$4)*AN152</f>
        <v>0</v>
      </c>
      <c r="BQ152" s="5">
        <f>($A152-2000)/((3-1)*$D$4)*AN152+(2000+3*$D$4-$A152)/((3-1)*$D$4)*AO152</f>
        <v>0</v>
      </c>
      <c r="BR152" s="5">
        <f>($A152-2001)/((3-1)*$D$4)*AO152+(2001+3*$D$4-$A152)/((3-1)*$D$4)*AP152</f>
        <v>0</v>
      </c>
      <c r="BS152" s="5">
        <f>($A152-2002)/((3-1)*$D$4)*AP152+(2002+3*$D$4-$A152)/((3-1)*$D$4)*AQ152</f>
        <v>0</v>
      </c>
      <c r="BT152" s="5">
        <f>($A152-2003)/((3-1)*$D$4)*AQ152+(2003+3*$D$4-$A152)/((3-1)*$D$4)*AR152</f>
        <v>0</v>
      </c>
      <c r="BU152" s="5">
        <f>($A152-2004)/((3-1)*$D$4)*AR152+(2004+3*$D$4-$A152)/((3-1)*$D$4)*AS152</f>
        <v>0</v>
      </c>
      <c r="BV152" s="5">
        <f>($A152-2005)/((3-1)*$D$4)*AS152+(2005+3*$D$4-$A152)/((3-1)*$D$4)*AT152</f>
        <v>0</v>
      </c>
      <c r="BW152" s="5">
        <f>($A152-2006)/((3-1)*$D$4)*AT152+(2006+3*$D$4-$A152)/((3-1)*$D$4)*AU152</f>
        <v>0</v>
      </c>
      <c r="BX152" s="5">
        <f>($A152-2007)/((3-1)*$D$4)*AU152+(2007+3*$D$4-$A152)/((3-1)*$D$4)*AV152</f>
        <v>0</v>
      </c>
      <c r="BY152" s="5">
        <f>($A152-2008)/((3-1)*$D$4)*AV152+(2008+3*$D$4-$A152)/((3-1)*$D$4)*AW152</f>
        <v>0</v>
      </c>
      <c r="BZ152" s="5">
        <f>($A152-2009)/((3-1)*$D$4)*AW152+(2009+3*$D$4-$A152)/((3-1)*$D$4)*AX152</f>
        <v>0</v>
      </c>
      <c r="CA152" s="5">
        <f>($A152-2010)/((3-1)*$D$4)*AX152+(2010+3*$D$4-$A152)/((3-1)*$D$4)*AY152</f>
        <v>0</v>
      </c>
      <c r="CB152" s="5">
        <f>($A152-2011)/((3-1)*$D$4)*AY152+(2011+3*$D$4-$A152)/((3-1)*$D$4)*AZ152</f>
        <v>0</v>
      </c>
      <c r="CC152" s="5">
        <f>($A152-2012)/((3-1)*$D$4)*AZ152+(2012+3*$D$4-$A152)/((3-1)*$D$4)*BA152</f>
        <v>0</v>
      </c>
      <c r="CD152" s="5">
        <f>($A152-2013)/((3-1)*$D$4)*BA152+(2013+3*$D$4-$A152)/((3-1)*$D$4)*BB152</f>
        <v>0</v>
      </c>
      <c r="CE152" s="5">
        <f>($A152-2014)/((3-1)*$D$4)*BB152+(2014+3*$D$4-$A152)/((3-1)*$D$4)*BC152</f>
        <v>0</v>
      </c>
      <c r="CF152" s="5">
        <f>($A152-2015)/((3-1)*$D$4)*BC152+(2015+3*$D$4-$A152)/((3-1)*$D$4)*BD152</f>
        <v>0</v>
      </c>
      <c r="CG152" s="5">
        <f>($A152-2016)/((3-1)*$D$4)*BD152+(2016+3*$D$4-$A152)/((3-1)*$D$4)*BE152</f>
        <v>0</v>
      </c>
      <c r="CH152" s="5">
        <f>($A152-2017)/((3-1)*$D$4)*BE152+(2017+3*$D$4-$A152)/((3-1)*$D$4)*BF152</f>
        <v>0</v>
      </c>
      <c r="CI152" s="5">
        <f>($A152-2018)/((3-1)*$D$4)*BF152+(2018+3*$D$4-$A152)/((3-1)*$D$4)*BG152</f>
        <v>0</v>
      </c>
      <c r="CJ152" s="5">
        <f>($A152-2019)/((3-1)*$D$4)*BG152+(2019+3*$D$4-$A152)/((3-1)*$D$4)*BH152</f>
        <v>0</v>
      </c>
      <c r="CK152" s="5">
        <f>($A152-1992)/((4-1)*$D$4)*BI152+(1992+4*$D$4-$A152)/((4-1)*$D$4)*BJ152</f>
        <v>0</v>
      </c>
      <c r="CL152" s="5">
        <f>($A152-1993)/((4-1)*$D$4)*BJ152+(1993+4*$D$4-$A152)/((4-1)*$D$4)*BK152</f>
        <v>0</v>
      </c>
      <c r="CM152" s="5">
        <f>($A152-1994)/((4-1)*$D$4)*BK152+(1994+4*$D$4-$A152)/((4-1)*$D$4)*BL152</f>
        <v>0.16666666666666666</v>
      </c>
      <c r="CN152" s="5">
        <f>($A152-1995)/((4-1)*$D$4)*BL152+(1995+4*$D$4-$A152)/((4-1)*$D$4)*BM152</f>
        <v>0.66666666666666663</v>
      </c>
      <c r="CO152" s="5">
        <f>($A152-1996)/((4-1)*$D$4)*BM152+(1996+4*$D$4-$A152)/((4-1)*$D$4)*BN152</f>
        <v>0.16666666666666666</v>
      </c>
      <c r="CP152" s="5">
        <f>($A152-1997)/((4-1)*$D$4)*BN152+(1997+4*$D$4-$A152)/((4-1)*$D$4)*BO152</f>
        <v>0</v>
      </c>
      <c r="CQ152" s="5">
        <f>($A152-1998)/((4-1)*$D$4)*BO152+(1998+4*$D$4-$A152)/((4-1)*$D$4)*BP152</f>
        <v>0</v>
      </c>
      <c r="CR152" s="5">
        <f>($A152-1999)/((4-1)*$D$4)*BP152+(1999+4*$D$4-$A152)/((4-1)*$D$4)*BQ152</f>
        <v>0</v>
      </c>
      <c r="CS152" s="5">
        <f>($A152-2000)/((4-1)*$D$4)*BQ152+(2000+4*$D$4-$A152)/((4-1)*$D$4)*BR152</f>
        <v>0</v>
      </c>
      <c r="CT152" s="5">
        <f>($A152-2001)/((4-1)*$D$4)*BR152+(2001+4*$D$4-$A152)/((4-1)*$D$4)*BS152</f>
        <v>0</v>
      </c>
      <c r="CU152" s="5">
        <f>($A152-2002)/((4-1)*$D$4)*BS152+(2002+4*$D$4-$A152)/((4-1)*$D$4)*BT152</f>
        <v>0</v>
      </c>
      <c r="CV152" s="5">
        <f>($A152-2003)/((4-1)*$D$4)*BT152+(2003+4*$D$4-$A152)/((4-1)*$D$4)*BU152</f>
        <v>0</v>
      </c>
      <c r="CW152" s="5">
        <f>($A152-2004)/((4-1)*$D$4)*BU152+(2004+4*$D$4-$A152)/((4-1)*$D$4)*BV152</f>
        <v>0</v>
      </c>
      <c r="CX152" s="5">
        <f>($A152-2005)/((4-1)*$D$4)*BV152+(2005+4*$D$4-$A152)/((4-1)*$D$4)*BW152</f>
        <v>0</v>
      </c>
      <c r="CY152" s="5">
        <f>($A152-2006)/((4-1)*$D$4)*BW152+(2006+4*$D$4-$A152)/((4-1)*$D$4)*BX152</f>
        <v>0</v>
      </c>
      <c r="CZ152" s="5">
        <f>($A152-2007)/((4-1)*$D$4)*BX152+(2007+4*$D$4-$A152)/((4-1)*$D$4)*BY152</f>
        <v>0</v>
      </c>
      <c r="DA152" s="5">
        <f>($A152-2008)/((4-1)*$D$4)*BY152+(2008+4*$D$4-$A152)/((4-1)*$D$4)*BZ152</f>
        <v>0</v>
      </c>
      <c r="DB152" s="5">
        <f>($A152-2009)/((4-1)*$D$4)*BZ152+(2009+4*$D$4-$A152)/((4-1)*$D$4)*CA152</f>
        <v>0</v>
      </c>
      <c r="DC152" s="5">
        <f>($A152-2010)/((4-1)*$D$4)*CA152+(2010+4*$D$4-$A152)/((4-1)*$D$4)*CB152</f>
        <v>0</v>
      </c>
      <c r="DD152" s="5">
        <f>($A152-2011)/((4-1)*$D$4)*CB152+(2011+4*$D$4-$A152)/((4-1)*$D$4)*CC152</f>
        <v>0</v>
      </c>
      <c r="DE152" s="5">
        <f>($A152-2012)/((4-1)*$D$4)*CC152+(2012+4*$D$4-$A152)/((4-1)*$D$4)*CD152</f>
        <v>0</v>
      </c>
      <c r="DF152" s="5">
        <f>($A152-2013)/((4-1)*$D$4)*CD152+(2013+4*$D$4-$A152)/((4-1)*$D$4)*CE152</f>
        <v>0</v>
      </c>
      <c r="DG152" s="5">
        <f>($A152-2014)/((4-1)*$D$4)*CE152+(2014+4*$D$4-$A152)/((4-1)*$D$4)*CF152</f>
        <v>0</v>
      </c>
      <c r="DH152" s="5">
        <f>($A152-2015)/((4-1)*$D$4)*CF152+(2015+4*$D$4-$A152)/((4-1)*$D$4)*CG152</f>
        <v>0</v>
      </c>
      <c r="DI152" s="5">
        <f>($A152-2016)/((4-1)*$D$4)*CG152+(2016+4*$D$4-$A152)/((4-1)*$D$4)*CH152</f>
        <v>0</v>
      </c>
      <c r="DJ152" s="5">
        <f>($A152-2017)/((4-1)*$D$4)*CH152+(2017+4*$D$4-$A152)/((4-1)*$D$4)*CI152</f>
        <v>0</v>
      </c>
      <c r="DK152" s="5">
        <f>($A152-2018)/((4-1)*$D$4)*CI152+(2018+4*$D$4-$A152)/((4-1)*$D$4)*CJ152</f>
        <v>0</v>
      </c>
    </row>
    <row r="153">
      <c r="A153" s="3" t="n">
        <v>1998</v>
      </c>
      <c r="B153" s="5">
        <f>IF(AND($A153&gt;=1992,$A153&lt;1993),1,0)</f>
        <v>0</v>
      </c>
      <c r="C153" s="5">
        <f>IF(AND($A153&gt;=1993,$A153&lt;1994),1,0)</f>
        <v>0</v>
      </c>
      <c r="D153" s="5">
        <f>IF(AND($A153&gt;=1994,$A153&lt;1995),1,0)</f>
        <v>0</v>
      </c>
      <c r="E153" s="5">
        <f>IF(AND($A153&gt;=1995,$A153&lt;1996),1,0)</f>
        <v>0</v>
      </c>
      <c r="F153" s="5">
        <f>IF(AND($A153&gt;=1996,$A153&lt;1997),1,0)</f>
        <v>0</v>
      </c>
      <c r="G153" s="5">
        <f>IF(AND($A153&gt;=1997,$A153&lt;1998),1,0)</f>
        <v>0</v>
      </c>
      <c r="H153" s="5">
        <f>IF(AND($A153&gt;=1998,$A153&lt;1999),1,0)</f>
        <v>1</v>
      </c>
      <c r="I153" s="5">
        <f>IF(AND($A153&gt;=1999,$A153&lt;2000),1,0)</f>
        <v>0</v>
      </c>
      <c r="J153" s="5">
        <f>IF(AND($A153&gt;=2000,$A153&lt;2001),1,0)</f>
        <v>0</v>
      </c>
      <c r="K153" s="5">
        <f>IF(AND($A153&gt;=2001,$A153&lt;2002),1,0)</f>
        <v>0</v>
      </c>
      <c r="L153" s="5">
        <f>IF(AND($A153&gt;=2002,$A153&lt;2003),1,0)</f>
        <v>0</v>
      </c>
      <c r="M153" s="5">
        <f>IF(AND($A153&gt;=2003,$A153&lt;2004),1,0)</f>
        <v>0</v>
      </c>
      <c r="N153" s="5">
        <f>IF(AND($A153&gt;=2004,$A153&lt;2005),1,0)</f>
        <v>0</v>
      </c>
      <c r="O153" s="5">
        <f>IF(AND($A153&gt;=2005,$A153&lt;2006),1,0)</f>
        <v>0</v>
      </c>
      <c r="P153" s="5">
        <f>IF(AND($A153&gt;=2006,$A153&lt;2007),1,0)</f>
        <v>0</v>
      </c>
      <c r="Q153" s="5">
        <f>IF(AND($A153&gt;=2007,$A153&lt;2008),1,0)</f>
        <v>0</v>
      </c>
      <c r="R153" s="5">
        <f>IF(AND($A153&gt;=2008,$A153&lt;2009),1,0)</f>
        <v>0</v>
      </c>
      <c r="S153" s="5">
        <f>IF(AND($A153&gt;=2009,$A153&lt;2010),1,0)</f>
        <v>0</v>
      </c>
      <c r="T153" s="5">
        <f>IF(AND($A153&gt;=2010,$A153&lt;2011),1,0)</f>
        <v>0</v>
      </c>
      <c r="U153" s="5">
        <f>IF(AND($A153&gt;=2011,$A153&lt;2012),1,0)</f>
        <v>0</v>
      </c>
      <c r="V153" s="5">
        <f>IF(AND($A153&gt;=2012,$A153&lt;2013),1,0)</f>
        <v>0</v>
      </c>
      <c r="W153" s="5">
        <f>IF(AND($A153&gt;=2013,$A153&lt;2014),1,0)</f>
        <v>0</v>
      </c>
      <c r="X153" s="5">
        <f>IF(AND($A153&gt;=2014,$A153&lt;2015),1,0)</f>
        <v>0</v>
      </c>
      <c r="Y153" s="5">
        <f>IF(AND($A153&gt;=2015,$A153&lt;2016),1,0)</f>
        <v>0</v>
      </c>
      <c r="Z153" s="5">
        <f>IF(AND($A153&gt;=2016,$A153&lt;2017),1,0)</f>
        <v>0</v>
      </c>
      <c r="AA153" s="5">
        <f>IF(AND($A153&gt;=2017,$A153&lt;2018),1,0)</f>
        <v>0</v>
      </c>
      <c r="AB153" s="5">
        <f>IF(AND($A153&gt;=2018,$A153&lt;2019),1,0)</f>
        <v>0</v>
      </c>
      <c r="AC153" s="5">
        <f>IF(AND($A153&gt;=2019,$A153&lt;2020),1,0)</f>
        <v>0</v>
      </c>
      <c r="AD153" s="5">
        <f>IF(AND($A153&gt;=2020,$A153&lt;2021),1,0)</f>
        <v>0</v>
      </c>
      <c r="AE153" s="5">
        <f>IF(AND($A153&gt;=2021,$A153&lt;2022),1,0)</f>
        <v>0</v>
      </c>
      <c r="AF153" s="5">
        <f>($A153-1992)/((2-1)*$D$4)*B153+(1992+2*$D$4-$A153)/((2-1)*$D$4)*C153</f>
        <v>0</v>
      </c>
      <c r="AG153" s="5">
        <f>($A153-1993)/((2-1)*$D$4)*C153+(1993+2*$D$4-$A153)/((2-1)*$D$4)*D153</f>
        <v>0</v>
      </c>
      <c r="AH153" s="5">
        <f>($A153-1994)/((2-1)*$D$4)*D153+(1994+2*$D$4-$A153)/((2-1)*$D$4)*E153</f>
        <v>0</v>
      </c>
      <c r="AI153" s="5">
        <f>($A153-1995)/((2-1)*$D$4)*E153+(1995+2*$D$4-$A153)/((2-1)*$D$4)*F153</f>
        <v>0</v>
      </c>
      <c r="AJ153" s="5">
        <f>($A153-1996)/((2-1)*$D$4)*F153+(1996+2*$D$4-$A153)/((2-1)*$D$4)*G153</f>
        <v>0</v>
      </c>
      <c r="AK153" s="5">
        <f>($A153-1997)/((2-1)*$D$4)*G153+(1997+2*$D$4-$A153)/((2-1)*$D$4)*H153</f>
        <v>1</v>
      </c>
      <c r="AL153" s="5">
        <f>($A153-1998)/((2-1)*$D$4)*H153+(1998+2*$D$4-$A153)/((2-1)*$D$4)*I153</f>
        <v>0</v>
      </c>
      <c r="AM153" s="5">
        <f>($A153-1999)/((2-1)*$D$4)*I153+(1999+2*$D$4-$A153)/((2-1)*$D$4)*J153</f>
        <v>0</v>
      </c>
      <c r="AN153" s="5">
        <f>($A153-2000)/((2-1)*$D$4)*J153+(2000+2*$D$4-$A153)/((2-1)*$D$4)*K153</f>
        <v>0</v>
      </c>
      <c r="AO153" s="5">
        <f>($A153-2001)/((2-1)*$D$4)*K153+(2001+2*$D$4-$A153)/((2-1)*$D$4)*L153</f>
        <v>0</v>
      </c>
      <c r="AP153" s="5">
        <f>($A153-2002)/((2-1)*$D$4)*L153+(2002+2*$D$4-$A153)/((2-1)*$D$4)*M153</f>
        <v>0</v>
      </c>
      <c r="AQ153" s="5">
        <f>($A153-2003)/((2-1)*$D$4)*M153+(2003+2*$D$4-$A153)/((2-1)*$D$4)*N153</f>
        <v>0</v>
      </c>
      <c r="AR153" s="5">
        <f>($A153-2004)/((2-1)*$D$4)*N153+(2004+2*$D$4-$A153)/((2-1)*$D$4)*O153</f>
        <v>0</v>
      </c>
      <c r="AS153" s="5">
        <f>($A153-2005)/((2-1)*$D$4)*O153+(2005+2*$D$4-$A153)/((2-1)*$D$4)*P153</f>
        <v>0</v>
      </c>
      <c r="AT153" s="5">
        <f>($A153-2006)/((2-1)*$D$4)*P153+(2006+2*$D$4-$A153)/((2-1)*$D$4)*Q153</f>
        <v>0</v>
      </c>
      <c r="AU153" s="5">
        <f>($A153-2007)/((2-1)*$D$4)*Q153+(2007+2*$D$4-$A153)/((2-1)*$D$4)*R153</f>
        <v>0</v>
      </c>
      <c r="AV153" s="5">
        <f>($A153-2008)/((2-1)*$D$4)*R153+(2008+2*$D$4-$A153)/((2-1)*$D$4)*S153</f>
        <v>0</v>
      </c>
      <c r="AW153" s="5">
        <f>($A153-2009)/((2-1)*$D$4)*S153+(2009+2*$D$4-$A153)/((2-1)*$D$4)*T153</f>
        <v>0</v>
      </c>
      <c r="AX153" s="5">
        <f>($A153-2010)/((2-1)*$D$4)*T153+(2010+2*$D$4-$A153)/((2-1)*$D$4)*U153</f>
        <v>0</v>
      </c>
      <c r="AY153" s="5">
        <f>($A153-2011)/((2-1)*$D$4)*U153+(2011+2*$D$4-$A153)/((2-1)*$D$4)*V153</f>
        <v>0</v>
      </c>
      <c r="AZ153" s="5">
        <f>($A153-2012)/((2-1)*$D$4)*V153+(2012+2*$D$4-$A153)/((2-1)*$D$4)*W153</f>
        <v>0</v>
      </c>
      <c r="BA153" s="5">
        <f>($A153-2013)/((2-1)*$D$4)*W153+(2013+2*$D$4-$A153)/((2-1)*$D$4)*X153</f>
        <v>0</v>
      </c>
      <c r="BB153" s="5">
        <f>($A153-2014)/((2-1)*$D$4)*X153+(2014+2*$D$4-$A153)/((2-1)*$D$4)*Y153</f>
        <v>0</v>
      </c>
      <c r="BC153" s="5">
        <f>($A153-2015)/((2-1)*$D$4)*Y153+(2015+2*$D$4-$A153)/((2-1)*$D$4)*Z153</f>
        <v>0</v>
      </c>
      <c r="BD153" s="5">
        <f>($A153-2016)/((2-1)*$D$4)*Z153+(2016+2*$D$4-$A153)/((2-1)*$D$4)*AA153</f>
        <v>0</v>
      </c>
      <c r="BE153" s="5">
        <f>($A153-2017)/((2-1)*$D$4)*AA153+(2017+2*$D$4-$A153)/((2-1)*$D$4)*AB153</f>
        <v>0</v>
      </c>
      <c r="BF153" s="5">
        <f>($A153-2018)/((2-1)*$D$4)*AB153+(2018+2*$D$4-$A153)/((2-1)*$D$4)*AC153</f>
        <v>0</v>
      </c>
      <c r="BG153" s="5">
        <f>($A153-2019)/((2-1)*$D$4)*AC153+(2019+2*$D$4-$A153)/((2-1)*$D$4)*AD153</f>
        <v>0</v>
      </c>
      <c r="BH153" s="5">
        <f>($A153-2020)/((2-1)*$D$4)*AD153+(2020+2*$D$4-$A153)/((2-1)*$D$4)*AE153</f>
        <v>0</v>
      </c>
      <c r="BI153" s="5">
        <f>($A153-1992)/((3-1)*$D$4)*AF153+(1992+3*$D$4-$A153)/((3-1)*$D$4)*AG153</f>
        <v>0</v>
      </c>
      <c r="BJ153" s="5">
        <f>($A153-1993)/((3-1)*$D$4)*AG153+(1993+3*$D$4-$A153)/((3-1)*$D$4)*AH153</f>
        <v>0</v>
      </c>
      <c r="BK153" s="5">
        <f>($A153-1994)/((3-1)*$D$4)*AH153+(1994+3*$D$4-$A153)/((3-1)*$D$4)*AI153</f>
        <v>0</v>
      </c>
      <c r="BL153" s="5">
        <f>($A153-1995)/((3-1)*$D$4)*AI153+(1995+3*$D$4-$A153)/((3-1)*$D$4)*AJ153</f>
        <v>0</v>
      </c>
      <c r="BM153" s="5">
        <f>($A153-1996)/((3-1)*$D$4)*AJ153+(1996+3*$D$4-$A153)/((3-1)*$D$4)*AK153</f>
        <v>0.5</v>
      </c>
      <c r="BN153" s="5">
        <f>($A153-1997)/((3-1)*$D$4)*AK153+(1997+3*$D$4-$A153)/((3-1)*$D$4)*AL153</f>
        <v>0.5</v>
      </c>
      <c r="BO153" s="5">
        <f>($A153-1998)/((3-1)*$D$4)*AL153+(1998+3*$D$4-$A153)/((3-1)*$D$4)*AM153</f>
        <v>0</v>
      </c>
      <c r="BP153" s="5">
        <f>($A153-1999)/((3-1)*$D$4)*AM153+(1999+3*$D$4-$A153)/((3-1)*$D$4)*AN153</f>
        <v>0</v>
      </c>
      <c r="BQ153" s="5">
        <f>($A153-2000)/((3-1)*$D$4)*AN153+(2000+3*$D$4-$A153)/((3-1)*$D$4)*AO153</f>
        <v>0</v>
      </c>
      <c r="BR153" s="5">
        <f>($A153-2001)/((3-1)*$D$4)*AO153+(2001+3*$D$4-$A153)/((3-1)*$D$4)*AP153</f>
        <v>0</v>
      </c>
      <c r="BS153" s="5">
        <f>($A153-2002)/((3-1)*$D$4)*AP153+(2002+3*$D$4-$A153)/((3-1)*$D$4)*AQ153</f>
        <v>0</v>
      </c>
      <c r="BT153" s="5">
        <f>($A153-2003)/((3-1)*$D$4)*AQ153+(2003+3*$D$4-$A153)/((3-1)*$D$4)*AR153</f>
        <v>0</v>
      </c>
      <c r="BU153" s="5">
        <f>($A153-2004)/((3-1)*$D$4)*AR153+(2004+3*$D$4-$A153)/((3-1)*$D$4)*AS153</f>
        <v>0</v>
      </c>
      <c r="BV153" s="5">
        <f>($A153-2005)/((3-1)*$D$4)*AS153+(2005+3*$D$4-$A153)/((3-1)*$D$4)*AT153</f>
        <v>0</v>
      </c>
      <c r="BW153" s="5">
        <f>($A153-2006)/((3-1)*$D$4)*AT153+(2006+3*$D$4-$A153)/((3-1)*$D$4)*AU153</f>
        <v>0</v>
      </c>
      <c r="BX153" s="5">
        <f>($A153-2007)/((3-1)*$D$4)*AU153+(2007+3*$D$4-$A153)/((3-1)*$D$4)*AV153</f>
        <v>0</v>
      </c>
      <c r="BY153" s="5">
        <f>($A153-2008)/((3-1)*$D$4)*AV153+(2008+3*$D$4-$A153)/((3-1)*$D$4)*AW153</f>
        <v>0</v>
      </c>
      <c r="BZ153" s="5">
        <f>($A153-2009)/((3-1)*$D$4)*AW153+(2009+3*$D$4-$A153)/((3-1)*$D$4)*AX153</f>
        <v>0</v>
      </c>
      <c r="CA153" s="5">
        <f>($A153-2010)/((3-1)*$D$4)*AX153+(2010+3*$D$4-$A153)/((3-1)*$D$4)*AY153</f>
        <v>0</v>
      </c>
      <c r="CB153" s="5">
        <f>($A153-2011)/((3-1)*$D$4)*AY153+(2011+3*$D$4-$A153)/((3-1)*$D$4)*AZ153</f>
        <v>0</v>
      </c>
      <c r="CC153" s="5">
        <f>($A153-2012)/((3-1)*$D$4)*AZ153+(2012+3*$D$4-$A153)/((3-1)*$D$4)*BA153</f>
        <v>0</v>
      </c>
      <c r="CD153" s="5">
        <f>($A153-2013)/((3-1)*$D$4)*BA153+(2013+3*$D$4-$A153)/((3-1)*$D$4)*BB153</f>
        <v>0</v>
      </c>
      <c r="CE153" s="5">
        <f>($A153-2014)/((3-1)*$D$4)*BB153+(2014+3*$D$4-$A153)/((3-1)*$D$4)*BC153</f>
        <v>0</v>
      </c>
      <c r="CF153" s="5">
        <f>($A153-2015)/((3-1)*$D$4)*BC153+(2015+3*$D$4-$A153)/((3-1)*$D$4)*BD153</f>
        <v>0</v>
      </c>
      <c r="CG153" s="5">
        <f>($A153-2016)/((3-1)*$D$4)*BD153+(2016+3*$D$4-$A153)/((3-1)*$D$4)*BE153</f>
        <v>0</v>
      </c>
      <c r="CH153" s="5">
        <f>($A153-2017)/((3-1)*$D$4)*BE153+(2017+3*$D$4-$A153)/((3-1)*$D$4)*BF153</f>
        <v>0</v>
      </c>
      <c r="CI153" s="5">
        <f>($A153-2018)/((3-1)*$D$4)*BF153+(2018+3*$D$4-$A153)/((3-1)*$D$4)*BG153</f>
        <v>0</v>
      </c>
      <c r="CJ153" s="5">
        <f>($A153-2019)/((3-1)*$D$4)*BG153+(2019+3*$D$4-$A153)/((3-1)*$D$4)*BH153</f>
        <v>0</v>
      </c>
      <c r="CK153" s="5">
        <f>($A153-1992)/((4-1)*$D$4)*BI153+(1992+4*$D$4-$A153)/((4-1)*$D$4)*BJ153</f>
        <v>0</v>
      </c>
      <c r="CL153" s="5">
        <f>($A153-1993)/((4-1)*$D$4)*BJ153+(1993+4*$D$4-$A153)/((4-1)*$D$4)*BK153</f>
        <v>0</v>
      </c>
      <c r="CM153" s="5">
        <f>($A153-1994)/((4-1)*$D$4)*BK153+(1994+4*$D$4-$A153)/((4-1)*$D$4)*BL153</f>
        <v>0</v>
      </c>
      <c r="CN153" s="5">
        <f>($A153-1995)/((4-1)*$D$4)*BL153+(1995+4*$D$4-$A153)/((4-1)*$D$4)*BM153</f>
        <v>0.16666666666666666</v>
      </c>
      <c r="CO153" s="5">
        <f>($A153-1996)/((4-1)*$D$4)*BM153+(1996+4*$D$4-$A153)/((4-1)*$D$4)*BN153</f>
        <v>0.66666666666666663</v>
      </c>
      <c r="CP153" s="5">
        <f>($A153-1997)/((4-1)*$D$4)*BN153+(1997+4*$D$4-$A153)/((4-1)*$D$4)*BO153</f>
        <v>0.16666666666666666</v>
      </c>
      <c r="CQ153" s="5">
        <f>($A153-1998)/((4-1)*$D$4)*BO153+(1998+4*$D$4-$A153)/((4-1)*$D$4)*BP153</f>
        <v>0</v>
      </c>
      <c r="CR153" s="5">
        <f>($A153-1999)/((4-1)*$D$4)*BP153+(1999+4*$D$4-$A153)/((4-1)*$D$4)*BQ153</f>
        <v>0</v>
      </c>
      <c r="CS153" s="5">
        <f>($A153-2000)/((4-1)*$D$4)*BQ153+(2000+4*$D$4-$A153)/((4-1)*$D$4)*BR153</f>
        <v>0</v>
      </c>
      <c r="CT153" s="5">
        <f>($A153-2001)/((4-1)*$D$4)*BR153+(2001+4*$D$4-$A153)/((4-1)*$D$4)*BS153</f>
        <v>0</v>
      </c>
      <c r="CU153" s="5">
        <f>($A153-2002)/((4-1)*$D$4)*BS153+(2002+4*$D$4-$A153)/((4-1)*$D$4)*BT153</f>
        <v>0</v>
      </c>
      <c r="CV153" s="5">
        <f>($A153-2003)/((4-1)*$D$4)*BT153+(2003+4*$D$4-$A153)/((4-1)*$D$4)*BU153</f>
        <v>0</v>
      </c>
      <c r="CW153" s="5">
        <f>($A153-2004)/((4-1)*$D$4)*BU153+(2004+4*$D$4-$A153)/((4-1)*$D$4)*BV153</f>
        <v>0</v>
      </c>
      <c r="CX153" s="5">
        <f>($A153-2005)/((4-1)*$D$4)*BV153+(2005+4*$D$4-$A153)/((4-1)*$D$4)*BW153</f>
        <v>0</v>
      </c>
      <c r="CY153" s="5">
        <f>($A153-2006)/((4-1)*$D$4)*BW153+(2006+4*$D$4-$A153)/((4-1)*$D$4)*BX153</f>
        <v>0</v>
      </c>
      <c r="CZ153" s="5">
        <f>($A153-2007)/((4-1)*$D$4)*BX153+(2007+4*$D$4-$A153)/((4-1)*$D$4)*BY153</f>
        <v>0</v>
      </c>
      <c r="DA153" s="5">
        <f>($A153-2008)/((4-1)*$D$4)*BY153+(2008+4*$D$4-$A153)/((4-1)*$D$4)*BZ153</f>
        <v>0</v>
      </c>
      <c r="DB153" s="5">
        <f>($A153-2009)/((4-1)*$D$4)*BZ153+(2009+4*$D$4-$A153)/((4-1)*$D$4)*CA153</f>
        <v>0</v>
      </c>
      <c r="DC153" s="5">
        <f>($A153-2010)/((4-1)*$D$4)*CA153+(2010+4*$D$4-$A153)/((4-1)*$D$4)*CB153</f>
        <v>0</v>
      </c>
      <c r="DD153" s="5">
        <f>($A153-2011)/((4-1)*$D$4)*CB153+(2011+4*$D$4-$A153)/((4-1)*$D$4)*CC153</f>
        <v>0</v>
      </c>
      <c r="DE153" s="5">
        <f>($A153-2012)/((4-1)*$D$4)*CC153+(2012+4*$D$4-$A153)/((4-1)*$D$4)*CD153</f>
        <v>0</v>
      </c>
      <c r="DF153" s="5">
        <f>($A153-2013)/((4-1)*$D$4)*CD153+(2013+4*$D$4-$A153)/((4-1)*$D$4)*CE153</f>
        <v>0</v>
      </c>
      <c r="DG153" s="5">
        <f>($A153-2014)/((4-1)*$D$4)*CE153+(2014+4*$D$4-$A153)/((4-1)*$D$4)*CF153</f>
        <v>0</v>
      </c>
      <c r="DH153" s="5">
        <f>($A153-2015)/((4-1)*$D$4)*CF153+(2015+4*$D$4-$A153)/((4-1)*$D$4)*CG153</f>
        <v>0</v>
      </c>
      <c r="DI153" s="5">
        <f>($A153-2016)/((4-1)*$D$4)*CG153+(2016+4*$D$4-$A153)/((4-1)*$D$4)*CH153</f>
        <v>0</v>
      </c>
      <c r="DJ153" s="5">
        <f>($A153-2017)/((4-1)*$D$4)*CH153+(2017+4*$D$4-$A153)/((4-1)*$D$4)*CI153</f>
        <v>0</v>
      </c>
      <c r="DK153" s="5">
        <f>($A153-2018)/((4-1)*$D$4)*CI153+(2018+4*$D$4-$A153)/((4-1)*$D$4)*CJ153</f>
        <v>0</v>
      </c>
    </row>
    <row r="154">
      <c r="A154" s="3" t="n">
        <v>1999</v>
      </c>
      <c r="B154" s="5">
        <f>IF(AND($A154&gt;=1992,$A154&lt;1993),1,0)</f>
        <v>0</v>
      </c>
      <c r="C154" s="5">
        <f>IF(AND($A154&gt;=1993,$A154&lt;1994),1,0)</f>
        <v>0</v>
      </c>
      <c r="D154" s="5">
        <f>IF(AND($A154&gt;=1994,$A154&lt;1995),1,0)</f>
        <v>0</v>
      </c>
      <c r="E154" s="5">
        <f>IF(AND($A154&gt;=1995,$A154&lt;1996),1,0)</f>
        <v>0</v>
      </c>
      <c r="F154" s="5">
        <f>IF(AND($A154&gt;=1996,$A154&lt;1997),1,0)</f>
        <v>0</v>
      </c>
      <c r="G154" s="5">
        <f>IF(AND($A154&gt;=1997,$A154&lt;1998),1,0)</f>
        <v>0</v>
      </c>
      <c r="H154" s="5">
        <f>IF(AND($A154&gt;=1998,$A154&lt;1999),1,0)</f>
        <v>0</v>
      </c>
      <c r="I154" s="5">
        <f>IF(AND($A154&gt;=1999,$A154&lt;2000),1,0)</f>
        <v>1</v>
      </c>
      <c r="J154" s="5">
        <f>IF(AND($A154&gt;=2000,$A154&lt;2001),1,0)</f>
        <v>0</v>
      </c>
      <c r="K154" s="5">
        <f>IF(AND($A154&gt;=2001,$A154&lt;2002),1,0)</f>
        <v>0</v>
      </c>
      <c r="L154" s="5">
        <f>IF(AND($A154&gt;=2002,$A154&lt;2003),1,0)</f>
        <v>0</v>
      </c>
      <c r="M154" s="5">
        <f>IF(AND($A154&gt;=2003,$A154&lt;2004),1,0)</f>
        <v>0</v>
      </c>
      <c r="N154" s="5">
        <f>IF(AND($A154&gt;=2004,$A154&lt;2005),1,0)</f>
        <v>0</v>
      </c>
      <c r="O154" s="5">
        <f>IF(AND($A154&gt;=2005,$A154&lt;2006),1,0)</f>
        <v>0</v>
      </c>
      <c r="P154" s="5">
        <f>IF(AND($A154&gt;=2006,$A154&lt;2007),1,0)</f>
        <v>0</v>
      </c>
      <c r="Q154" s="5">
        <f>IF(AND($A154&gt;=2007,$A154&lt;2008),1,0)</f>
        <v>0</v>
      </c>
      <c r="R154" s="5">
        <f>IF(AND($A154&gt;=2008,$A154&lt;2009),1,0)</f>
        <v>0</v>
      </c>
      <c r="S154" s="5">
        <f>IF(AND($A154&gt;=2009,$A154&lt;2010),1,0)</f>
        <v>0</v>
      </c>
      <c r="T154" s="5">
        <f>IF(AND($A154&gt;=2010,$A154&lt;2011),1,0)</f>
        <v>0</v>
      </c>
      <c r="U154" s="5">
        <f>IF(AND($A154&gt;=2011,$A154&lt;2012),1,0)</f>
        <v>0</v>
      </c>
      <c r="V154" s="5">
        <f>IF(AND($A154&gt;=2012,$A154&lt;2013),1,0)</f>
        <v>0</v>
      </c>
      <c r="W154" s="5">
        <f>IF(AND($A154&gt;=2013,$A154&lt;2014),1,0)</f>
        <v>0</v>
      </c>
      <c r="X154" s="5">
        <f>IF(AND($A154&gt;=2014,$A154&lt;2015),1,0)</f>
        <v>0</v>
      </c>
      <c r="Y154" s="5">
        <f>IF(AND($A154&gt;=2015,$A154&lt;2016),1,0)</f>
        <v>0</v>
      </c>
      <c r="Z154" s="5">
        <f>IF(AND($A154&gt;=2016,$A154&lt;2017),1,0)</f>
        <v>0</v>
      </c>
      <c r="AA154" s="5">
        <f>IF(AND($A154&gt;=2017,$A154&lt;2018),1,0)</f>
        <v>0</v>
      </c>
      <c r="AB154" s="5">
        <f>IF(AND($A154&gt;=2018,$A154&lt;2019),1,0)</f>
        <v>0</v>
      </c>
      <c r="AC154" s="5">
        <f>IF(AND($A154&gt;=2019,$A154&lt;2020),1,0)</f>
        <v>0</v>
      </c>
      <c r="AD154" s="5">
        <f>IF(AND($A154&gt;=2020,$A154&lt;2021),1,0)</f>
        <v>0</v>
      </c>
      <c r="AE154" s="5">
        <f>IF(AND($A154&gt;=2021,$A154&lt;2022),1,0)</f>
        <v>0</v>
      </c>
      <c r="AF154" s="5">
        <f>($A154-1992)/((2-1)*$D$4)*B154+(1992+2*$D$4-$A154)/((2-1)*$D$4)*C154</f>
        <v>0</v>
      </c>
      <c r="AG154" s="5">
        <f>($A154-1993)/((2-1)*$D$4)*C154+(1993+2*$D$4-$A154)/((2-1)*$D$4)*D154</f>
        <v>0</v>
      </c>
      <c r="AH154" s="5">
        <f>($A154-1994)/((2-1)*$D$4)*D154+(1994+2*$D$4-$A154)/((2-1)*$D$4)*E154</f>
        <v>0</v>
      </c>
      <c r="AI154" s="5">
        <f>($A154-1995)/((2-1)*$D$4)*E154+(1995+2*$D$4-$A154)/((2-1)*$D$4)*F154</f>
        <v>0</v>
      </c>
      <c r="AJ154" s="5">
        <f>($A154-1996)/((2-1)*$D$4)*F154+(1996+2*$D$4-$A154)/((2-1)*$D$4)*G154</f>
        <v>0</v>
      </c>
      <c r="AK154" s="5">
        <f>($A154-1997)/((2-1)*$D$4)*G154+(1997+2*$D$4-$A154)/((2-1)*$D$4)*H154</f>
        <v>0</v>
      </c>
      <c r="AL154" s="5">
        <f>($A154-1998)/((2-1)*$D$4)*H154+(1998+2*$D$4-$A154)/((2-1)*$D$4)*I154</f>
        <v>1</v>
      </c>
      <c r="AM154" s="5">
        <f>($A154-1999)/((2-1)*$D$4)*I154+(1999+2*$D$4-$A154)/((2-1)*$D$4)*J154</f>
        <v>0</v>
      </c>
      <c r="AN154" s="5">
        <f>($A154-2000)/((2-1)*$D$4)*J154+(2000+2*$D$4-$A154)/((2-1)*$D$4)*K154</f>
        <v>0</v>
      </c>
      <c r="AO154" s="5">
        <f>($A154-2001)/((2-1)*$D$4)*K154+(2001+2*$D$4-$A154)/((2-1)*$D$4)*L154</f>
        <v>0</v>
      </c>
      <c r="AP154" s="5">
        <f>($A154-2002)/((2-1)*$D$4)*L154+(2002+2*$D$4-$A154)/((2-1)*$D$4)*M154</f>
        <v>0</v>
      </c>
      <c r="AQ154" s="5">
        <f>($A154-2003)/((2-1)*$D$4)*M154+(2003+2*$D$4-$A154)/((2-1)*$D$4)*N154</f>
        <v>0</v>
      </c>
      <c r="AR154" s="5">
        <f>($A154-2004)/((2-1)*$D$4)*N154+(2004+2*$D$4-$A154)/((2-1)*$D$4)*O154</f>
        <v>0</v>
      </c>
      <c r="AS154" s="5">
        <f>($A154-2005)/((2-1)*$D$4)*O154+(2005+2*$D$4-$A154)/((2-1)*$D$4)*P154</f>
        <v>0</v>
      </c>
      <c r="AT154" s="5">
        <f>($A154-2006)/((2-1)*$D$4)*P154+(2006+2*$D$4-$A154)/((2-1)*$D$4)*Q154</f>
        <v>0</v>
      </c>
      <c r="AU154" s="5">
        <f>($A154-2007)/((2-1)*$D$4)*Q154+(2007+2*$D$4-$A154)/((2-1)*$D$4)*R154</f>
        <v>0</v>
      </c>
      <c r="AV154" s="5">
        <f>($A154-2008)/((2-1)*$D$4)*R154+(2008+2*$D$4-$A154)/((2-1)*$D$4)*S154</f>
        <v>0</v>
      </c>
      <c r="AW154" s="5">
        <f>($A154-2009)/((2-1)*$D$4)*S154+(2009+2*$D$4-$A154)/((2-1)*$D$4)*T154</f>
        <v>0</v>
      </c>
      <c r="AX154" s="5">
        <f>($A154-2010)/((2-1)*$D$4)*T154+(2010+2*$D$4-$A154)/((2-1)*$D$4)*U154</f>
        <v>0</v>
      </c>
      <c r="AY154" s="5">
        <f>($A154-2011)/((2-1)*$D$4)*U154+(2011+2*$D$4-$A154)/((2-1)*$D$4)*V154</f>
        <v>0</v>
      </c>
      <c r="AZ154" s="5">
        <f>($A154-2012)/((2-1)*$D$4)*V154+(2012+2*$D$4-$A154)/((2-1)*$D$4)*W154</f>
        <v>0</v>
      </c>
      <c r="BA154" s="5">
        <f>($A154-2013)/((2-1)*$D$4)*W154+(2013+2*$D$4-$A154)/((2-1)*$D$4)*X154</f>
        <v>0</v>
      </c>
      <c r="BB154" s="5">
        <f>($A154-2014)/((2-1)*$D$4)*X154+(2014+2*$D$4-$A154)/((2-1)*$D$4)*Y154</f>
        <v>0</v>
      </c>
      <c r="BC154" s="5">
        <f>($A154-2015)/((2-1)*$D$4)*Y154+(2015+2*$D$4-$A154)/((2-1)*$D$4)*Z154</f>
        <v>0</v>
      </c>
      <c r="BD154" s="5">
        <f>($A154-2016)/((2-1)*$D$4)*Z154+(2016+2*$D$4-$A154)/((2-1)*$D$4)*AA154</f>
        <v>0</v>
      </c>
      <c r="BE154" s="5">
        <f>($A154-2017)/((2-1)*$D$4)*AA154+(2017+2*$D$4-$A154)/((2-1)*$D$4)*AB154</f>
        <v>0</v>
      </c>
      <c r="BF154" s="5">
        <f>($A154-2018)/((2-1)*$D$4)*AB154+(2018+2*$D$4-$A154)/((2-1)*$D$4)*AC154</f>
        <v>0</v>
      </c>
      <c r="BG154" s="5">
        <f>($A154-2019)/((2-1)*$D$4)*AC154+(2019+2*$D$4-$A154)/((2-1)*$D$4)*AD154</f>
        <v>0</v>
      </c>
      <c r="BH154" s="5">
        <f>($A154-2020)/((2-1)*$D$4)*AD154+(2020+2*$D$4-$A154)/((2-1)*$D$4)*AE154</f>
        <v>0</v>
      </c>
      <c r="BI154" s="5">
        <f>($A154-1992)/((3-1)*$D$4)*AF154+(1992+3*$D$4-$A154)/((3-1)*$D$4)*AG154</f>
        <v>0</v>
      </c>
      <c r="BJ154" s="5">
        <f>($A154-1993)/((3-1)*$D$4)*AG154+(1993+3*$D$4-$A154)/((3-1)*$D$4)*AH154</f>
        <v>0</v>
      </c>
      <c r="BK154" s="5">
        <f>($A154-1994)/((3-1)*$D$4)*AH154+(1994+3*$D$4-$A154)/((3-1)*$D$4)*AI154</f>
        <v>0</v>
      </c>
      <c r="BL154" s="5">
        <f>($A154-1995)/((3-1)*$D$4)*AI154+(1995+3*$D$4-$A154)/((3-1)*$D$4)*AJ154</f>
        <v>0</v>
      </c>
      <c r="BM154" s="5">
        <f>($A154-1996)/((3-1)*$D$4)*AJ154+(1996+3*$D$4-$A154)/((3-1)*$D$4)*AK154</f>
        <v>0</v>
      </c>
      <c r="BN154" s="5">
        <f>($A154-1997)/((3-1)*$D$4)*AK154+(1997+3*$D$4-$A154)/((3-1)*$D$4)*AL154</f>
        <v>0.5</v>
      </c>
      <c r="BO154" s="5">
        <f>($A154-1998)/((3-1)*$D$4)*AL154+(1998+3*$D$4-$A154)/((3-1)*$D$4)*AM154</f>
        <v>0.5</v>
      </c>
      <c r="BP154" s="5">
        <f>($A154-1999)/((3-1)*$D$4)*AM154+(1999+3*$D$4-$A154)/((3-1)*$D$4)*AN154</f>
        <v>0</v>
      </c>
      <c r="BQ154" s="5">
        <f>($A154-2000)/((3-1)*$D$4)*AN154+(2000+3*$D$4-$A154)/((3-1)*$D$4)*AO154</f>
        <v>0</v>
      </c>
      <c r="BR154" s="5">
        <f>($A154-2001)/((3-1)*$D$4)*AO154+(2001+3*$D$4-$A154)/((3-1)*$D$4)*AP154</f>
        <v>0</v>
      </c>
      <c r="BS154" s="5">
        <f>($A154-2002)/((3-1)*$D$4)*AP154+(2002+3*$D$4-$A154)/((3-1)*$D$4)*AQ154</f>
        <v>0</v>
      </c>
      <c r="BT154" s="5">
        <f>($A154-2003)/((3-1)*$D$4)*AQ154+(2003+3*$D$4-$A154)/((3-1)*$D$4)*AR154</f>
        <v>0</v>
      </c>
      <c r="BU154" s="5">
        <f>($A154-2004)/((3-1)*$D$4)*AR154+(2004+3*$D$4-$A154)/((3-1)*$D$4)*AS154</f>
        <v>0</v>
      </c>
      <c r="BV154" s="5">
        <f>($A154-2005)/((3-1)*$D$4)*AS154+(2005+3*$D$4-$A154)/((3-1)*$D$4)*AT154</f>
        <v>0</v>
      </c>
      <c r="BW154" s="5">
        <f>($A154-2006)/((3-1)*$D$4)*AT154+(2006+3*$D$4-$A154)/((3-1)*$D$4)*AU154</f>
        <v>0</v>
      </c>
      <c r="BX154" s="5">
        <f>($A154-2007)/((3-1)*$D$4)*AU154+(2007+3*$D$4-$A154)/((3-1)*$D$4)*AV154</f>
        <v>0</v>
      </c>
      <c r="BY154" s="5">
        <f>($A154-2008)/((3-1)*$D$4)*AV154+(2008+3*$D$4-$A154)/((3-1)*$D$4)*AW154</f>
        <v>0</v>
      </c>
      <c r="BZ154" s="5">
        <f>($A154-2009)/((3-1)*$D$4)*AW154+(2009+3*$D$4-$A154)/((3-1)*$D$4)*AX154</f>
        <v>0</v>
      </c>
      <c r="CA154" s="5">
        <f>($A154-2010)/((3-1)*$D$4)*AX154+(2010+3*$D$4-$A154)/((3-1)*$D$4)*AY154</f>
        <v>0</v>
      </c>
      <c r="CB154" s="5">
        <f>($A154-2011)/((3-1)*$D$4)*AY154+(2011+3*$D$4-$A154)/((3-1)*$D$4)*AZ154</f>
        <v>0</v>
      </c>
      <c r="CC154" s="5">
        <f>($A154-2012)/((3-1)*$D$4)*AZ154+(2012+3*$D$4-$A154)/((3-1)*$D$4)*BA154</f>
        <v>0</v>
      </c>
      <c r="CD154" s="5">
        <f>($A154-2013)/((3-1)*$D$4)*BA154+(2013+3*$D$4-$A154)/((3-1)*$D$4)*BB154</f>
        <v>0</v>
      </c>
      <c r="CE154" s="5">
        <f>($A154-2014)/((3-1)*$D$4)*BB154+(2014+3*$D$4-$A154)/((3-1)*$D$4)*BC154</f>
        <v>0</v>
      </c>
      <c r="CF154" s="5">
        <f>($A154-2015)/((3-1)*$D$4)*BC154+(2015+3*$D$4-$A154)/((3-1)*$D$4)*BD154</f>
        <v>0</v>
      </c>
      <c r="CG154" s="5">
        <f>($A154-2016)/((3-1)*$D$4)*BD154+(2016+3*$D$4-$A154)/((3-1)*$D$4)*BE154</f>
        <v>0</v>
      </c>
      <c r="CH154" s="5">
        <f>($A154-2017)/((3-1)*$D$4)*BE154+(2017+3*$D$4-$A154)/((3-1)*$D$4)*BF154</f>
        <v>0</v>
      </c>
      <c r="CI154" s="5">
        <f>($A154-2018)/((3-1)*$D$4)*BF154+(2018+3*$D$4-$A154)/((3-1)*$D$4)*BG154</f>
        <v>0</v>
      </c>
      <c r="CJ154" s="5">
        <f>($A154-2019)/((3-1)*$D$4)*BG154+(2019+3*$D$4-$A154)/((3-1)*$D$4)*BH154</f>
        <v>0</v>
      </c>
      <c r="CK154" s="5">
        <f>($A154-1992)/((4-1)*$D$4)*BI154+(1992+4*$D$4-$A154)/((4-1)*$D$4)*BJ154</f>
        <v>0</v>
      </c>
      <c r="CL154" s="5">
        <f>($A154-1993)/((4-1)*$D$4)*BJ154+(1993+4*$D$4-$A154)/((4-1)*$D$4)*BK154</f>
        <v>0</v>
      </c>
      <c r="CM154" s="5">
        <f>($A154-1994)/((4-1)*$D$4)*BK154+(1994+4*$D$4-$A154)/((4-1)*$D$4)*BL154</f>
        <v>0</v>
      </c>
      <c r="CN154" s="5">
        <f>($A154-1995)/((4-1)*$D$4)*BL154+(1995+4*$D$4-$A154)/((4-1)*$D$4)*BM154</f>
        <v>0</v>
      </c>
      <c r="CO154" s="5">
        <f>($A154-1996)/((4-1)*$D$4)*BM154+(1996+4*$D$4-$A154)/((4-1)*$D$4)*BN154</f>
        <v>0.16666666666666666</v>
      </c>
      <c r="CP154" s="5">
        <f>($A154-1997)/((4-1)*$D$4)*BN154+(1997+4*$D$4-$A154)/((4-1)*$D$4)*BO154</f>
        <v>0.66666666666666663</v>
      </c>
      <c r="CQ154" s="5">
        <f>($A154-1998)/((4-1)*$D$4)*BO154+(1998+4*$D$4-$A154)/((4-1)*$D$4)*BP154</f>
        <v>0.16666666666666666</v>
      </c>
      <c r="CR154" s="5">
        <f>($A154-1999)/((4-1)*$D$4)*BP154+(1999+4*$D$4-$A154)/((4-1)*$D$4)*BQ154</f>
        <v>0</v>
      </c>
      <c r="CS154" s="5">
        <f>($A154-2000)/((4-1)*$D$4)*BQ154+(2000+4*$D$4-$A154)/((4-1)*$D$4)*BR154</f>
        <v>0</v>
      </c>
      <c r="CT154" s="5">
        <f>($A154-2001)/((4-1)*$D$4)*BR154+(2001+4*$D$4-$A154)/((4-1)*$D$4)*BS154</f>
        <v>0</v>
      </c>
      <c r="CU154" s="5">
        <f>($A154-2002)/((4-1)*$D$4)*BS154+(2002+4*$D$4-$A154)/((4-1)*$D$4)*BT154</f>
        <v>0</v>
      </c>
      <c r="CV154" s="5">
        <f>($A154-2003)/((4-1)*$D$4)*BT154+(2003+4*$D$4-$A154)/((4-1)*$D$4)*BU154</f>
        <v>0</v>
      </c>
      <c r="CW154" s="5">
        <f>($A154-2004)/((4-1)*$D$4)*BU154+(2004+4*$D$4-$A154)/((4-1)*$D$4)*BV154</f>
        <v>0</v>
      </c>
      <c r="CX154" s="5">
        <f>($A154-2005)/((4-1)*$D$4)*BV154+(2005+4*$D$4-$A154)/((4-1)*$D$4)*BW154</f>
        <v>0</v>
      </c>
      <c r="CY154" s="5">
        <f>($A154-2006)/((4-1)*$D$4)*BW154+(2006+4*$D$4-$A154)/((4-1)*$D$4)*BX154</f>
        <v>0</v>
      </c>
      <c r="CZ154" s="5">
        <f>($A154-2007)/((4-1)*$D$4)*BX154+(2007+4*$D$4-$A154)/((4-1)*$D$4)*BY154</f>
        <v>0</v>
      </c>
      <c r="DA154" s="5">
        <f>($A154-2008)/((4-1)*$D$4)*BY154+(2008+4*$D$4-$A154)/((4-1)*$D$4)*BZ154</f>
        <v>0</v>
      </c>
      <c r="DB154" s="5">
        <f>($A154-2009)/((4-1)*$D$4)*BZ154+(2009+4*$D$4-$A154)/((4-1)*$D$4)*CA154</f>
        <v>0</v>
      </c>
      <c r="DC154" s="5">
        <f>($A154-2010)/((4-1)*$D$4)*CA154+(2010+4*$D$4-$A154)/((4-1)*$D$4)*CB154</f>
        <v>0</v>
      </c>
      <c r="DD154" s="5">
        <f>($A154-2011)/((4-1)*$D$4)*CB154+(2011+4*$D$4-$A154)/((4-1)*$D$4)*CC154</f>
        <v>0</v>
      </c>
      <c r="DE154" s="5">
        <f>($A154-2012)/((4-1)*$D$4)*CC154+(2012+4*$D$4-$A154)/((4-1)*$D$4)*CD154</f>
        <v>0</v>
      </c>
      <c r="DF154" s="5">
        <f>($A154-2013)/((4-1)*$D$4)*CD154+(2013+4*$D$4-$A154)/((4-1)*$D$4)*CE154</f>
        <v>0</v>
      </c>
      <c r="DG154" s="5">
        <f>($A154-2014)/((4-1)*$D$4)*CE154+(2014+4*$D$4-$A154)/((4-1)*$D$4)*CF154</f>
        <v>0</v>
      </c>
      <c r="DH154" s="5">
        <f>($A154-2015)/((4-1)*$D$4)*CF154+(2015+4*$D$4-$A154)/((4-1)*$D$4)*CG154</f>
        <v>0</v>
      </c>
      <c r="DI154" s="5">
        <f>($A154-2016)/((4-1)*$D$4)*CG154+(2016+4*$D$4-$A154)/((4-1)*$D$4)*CH154</f>
        <v>0</v>
      </c>
      <c r="DJ154" s="5">
        <f>($A154-2017)/((4-1)*$D$4)*CH154+(2017+4*$D$4-$A154)/((4-1)*$D$4)*CI154</f>
        <v>0</v>
      </c>
      <c r="DK154" s="5">
        <f>($A154-2018)/((4-1)*$D$4)*CI154+(2018+4*$D$4-$A154)/((4-1)*$D$4)*CJ154</f>
        <v>0</v>
      </c>
    </row>
    <row r="155">
      <c r="A155" s="3" t="n">
        <v>2000</v>
      </c>
      <c r="B155" s="5">
        <f>IF(AND($A155&gt;=1992,$A155&lt;1993),1,0)</f>
        <v>0</v>
      </c>
      <c r="C155" s="5">
        <f>IF(AND($A155&gt;=1993,$A155&lt;1994),1,0)</f>
        <v>0</v>
      </c>
      <c r="D155" s="5">
        <f>IF(AND($A155&gt;=1994,$A155&lt;1995),1,0)</f>
        <v>0</v>
      </c>
      <c r="E155" s="5">
        <f>IF(AND($A155&gt;=1995,$A155&lt;1996),1,0)</f>
        <v>0</v>
      </c>
      <c r="F155" s="5">
        <f>IF(AND($A155&gt;=1996,$A155&lt;1997),1,0)</f>
        <v>0</v>
      </c>
      <c r="G155" s="5">
        <f>IF(AND($A155&gt;=1997,$A155&lt;1998),1,0)</f>
        <v>0</v>
      </c>
      <c r="H155" s="5">
        <f>IF(AND($A155&gt;=1998,$A155&lt;1999),1,0)</f>
        <v>0</v>
      </c>
      <c r="I155" s="5">
        <f>IF(AND($A155&gt;=1999,$A155&lt;2000),1,0)</f>
        <v>0</v>
      </c>
      <c r="J155" s="5">
        <f>IF(AND($A155&gt;=2000,$A155&lt;2001),1,0)</f>
        <v>1</v>
      </c>
      <c r="K155" s="5">
        <f>IF(AND($A155&gt;=2001,$A155&lt;2002),1,0)</f>
        <v>0</v>
      </c>
      <c r="L155" s="5">
        <f>IF(AND($A155&gt;=2002,$A155&lt;2003),1,0)</f>
        <v>0</v>
      </c>
      <c r="M155" s="5">
        <f>IF(AND($A155&gt;=2003,$A155&lt;2004),1,0)</f>
        <v>0</v>
      </c>
      <c r="N155" s="5">
        <f>IF(AND($A155&gt;=2004,$A155&lt;2005),1,0)</f>
        <v>0</v>
      </c>
      <c r="O155" s="5">
        <f>IF(AND($A155&gt;=2005,$A155&lt;2006),1,0)</f>
        <v>0</v>
      </c>
      <c r="P155" s="5">
        <f>IF(AND($A155&gt;=2006,$A155&lt;2007),1,0)</f>
        <v>0</v>
      </c>
      <c r="Q155" s="5">
        <f>IF(AND($A155&gt;=2007,$A155&lt;2008),1,0)</f>
        <v>0</v>
      </c>
      <c r="R155" s="5">
        <f>IF(AND($A155&gt;=2008,$A155&lt;2009),1,0)</f>
        <v>0</v>
      </c>
      <c r="S155" s="5">
        <f>IF(AND($A155&gt;=2009,$A155&lt;2010),1,0)</f>
        <v>0</v>
      </c>
      <c r="T155" s="5">
        <f>IF(AND($A155&gt;=2010,$A155&lt;2011),1,0)</f>
        <v>0</v>
      </c>
      <c r="U155" s="5">
        <f>IF(AND($A155&gt;=2011,$A155&lt;2012),1,0)</f>
        <v>0</v>
      </c>
      <c r="V155" s="5">
        <f>IF(AND($A155&gt;=2012,$A155&lt;2013),1,0)</f>
        <v>0</v>
      </c>
      <c r="W155" s="5">
        <f>IF(AND($A155&gt;=2013,$A155&lt;2014),1,0)</f>
        <v>0</v>
      </c>
      <c r="X155" s="5">
        <f>IF(AND($A155&gt;=2014,$A155&lt;2015),1,0)</f>
        <v>0</v>
      </c>
      <c r="Y155" s="5">
        <f>IF(AND($A155&gt;=2015,$A155&lt;2016),1,0)</f>
        <v>0</v>
      </c>
      <c r="Z155" s="5">
        <f>IF(AND($A155&gt;=2016,$A155&lt;2017),1,0)</f>
        <v>0</v>
      </c>
      <c r="AA155" s="5">
        <f>IF(AND($A155&gt;=2017,$A155&lt;2018),1,0)</f>
        <v>0</v>
      </c>
      <c r="AB155" s="5">
        <f>IF(AND($A155&gt;=2018,$A155&lt;2019),1,0)</f>
        <v>0</v>
      </c>
      <c r="AC155" s="5">
        <f>IF(AND($A155&gt;=2019,$A155&lt;2020),1,0)</f>
        <v>0</v>
      </c>
      <c r="AD155" s="5">
        <f>IF(AND($A155&gt;=2020,$A155&lt;2021),1,0)</f>
        <v>0</v>
      </c>
      <c r="AE155" s="5">
        <f>IF(AND($A155&gt;=2021,$A155&lt;2022),1,0)</f>
        <v>0</v>
      </c>
      <c r="AF155" s="5">
        <f>($A155-1992)/((2-1)*$D$4)*B155+(1992+2*$D$4-$A155)/((2-1)*$D$4)*C155</f>
        <v>0</v>
      </c>
      <c r="AG155" s="5">
        <f>($A155-1993)/((2-1)*$D$4)*C155+(1993+2*$D$4-$A155)/((2-1)*$D$4)*D155</f>
        <v>0</v>
      </c>
      <c r="AH155" s="5">
        <f>($A155-1994)/((2-1)*$D$4)*D155+(1994+2*$D$4-$A155)/((2-1)*$D$4)*E155</f>
        <v>0</v>
      </c>
      <c r="AI155" s="5">
        <f>($A155-1995)/((2-1)*$D$4)*E155+(1995+2*$D$4-$A155)/((2-1)*$D$4)*F155</f>
        <v>0</v>
      </c>
      <c r="AJ155" s="5">
        <f>($A155-1996)/((2-1)*$D$4)*F155+(1996+2*$D$4-$A155)/((2-1)*$D$4)*G155</f>
        <v>0</v>
      </c>
      <c r="AK155" s="5">
        <f>($A155-1997)/((2-1)*$D$4)*G155+(1997+2*$D$4-$A155)/((2-1)*$D$4)*H155</f>
        <v>0</v>
      </c>
      <c r="AL155" s="5">
        <f>($A155-1998)/((2-1)*$D$4)*H155+(1998+2*$D$4-$A155)/((2-1)*$D$4)*I155</f>
        <v>0</v>
      </c>
      <c r="AM155" s="5">
        <f>($A155-1999)/((2-1)*$D$4)*I155+(1999+2*$D$4-$A155)/((2-1)*$D$4)*J155</f>
        <v>1</v>
      </c>
      <c r="AN155" s="5">
        <f>($A155-2000)/((2-1)*$D$4)*J155+(2000+2*$D$4-$A155)/((2-1)*$D$4)*K155</f>
        <v>0</v>
      </c>
      <c r="AO155" s="5">
        <f>($A155-2001)/((2-1)*$D$4)*K155+(2001+2*$D$4-$A155)/((2-1)*$D$4)*L155</f>
        <v>0</v>
      </c>
      <c r="AP155" s="5">
        <f>($A155-2002)/((2-1)*$D$4)*L155+(2002+2*$D$4-$A155)/((2-1)*$D$4)*M155</f>
        <v>0</v>
      </c>
      <c r="AQ155" s="5">
        <f>($A155-2003)/((2-1)*$D$4)*M155+(2003+2*$D$4-$A155)/((2-1)*$D$4)*N155</f>
        <v>0</v>
      </c>
      <c r="AR155" s="5">
        <f>($A155-2004)/((2-1)*$D$4)*N155+(2004+2*$D$4-$A155)/((2-1)*$D$4)*O155</f>
        <v>0</v>
      </c>
      <c r="AS155" s="5">
        <f>($A155-2005)/((2-1)*$D$4)*O155+(2005+2*$D$4-$A155)/((2-1)*$D$4)*P155</f>
        <v>0</v>
      </c>
      <c r="AT155" s="5">
        <f>($A155-2006)/((2-1)*$D$4)*P155+(2006+2*$D$4-$A155)/((2-1)*$D$4)*Q155</f>
        <v>0</v>
      </c>
      <c r="AU155" s="5">
        <f>($A155-2007)/((2-1)*$D$4)*Q155+(2007+2*$D$4-$A155)/((2-1)*$D$4)*R155</f>
        <v>0</v>
      </c>
      <c r="AV155" s="5">
        <f>($A155-2008)/((2-1)*$D$4)*R155+(2008+2*$D$4-$A155)/((2-1)*$D$4)*S155</f>
        <v>0</v>
      </c>
      <c r="AW155" s="5">
        <f>($A155-2009)/((2-1)*$D$4)*S155+(2009+2*$D$4-$A155)/((2-1)*$D$4)*T155</f>
        <v>0</v>
      </c>
      <c r="AX155" s="5">
        <f>($A155-2010)/((2-1)*$D$4)*T155+(2010+2*$D$4-$A155)/((2-1)*$D$4)*U155</f>
        <v>0</v>
      </c>
      <c r="AY155" s="5">
        <f>($A155-2011)/((2-1)*$D$4)*U155+(2011+2*$D$4-$A155)/((2-1)*$D$4)*V155</f>
        <v>0</v>
      </c>
      <c r="AZ155" s="5">
        <f>($A155-2012)/((2-1)*$D$4)*V155+(2012+2*$D$4-$A155)/((2-1)*$D$4)*W155</f>
        <v>0</v>
      </c>
      <c r="BA155" s="5">
        <f>($A155-2013)/((2-1)*$D$4)*W155+(2013+2*$D$4-$A155)/((2-1)*$D$4)*X155</f>
        <v>0</v>
      </c>
      <c r="BB155" s="5">
        <f>($A155-2014)/((2-1)*$D$4)*X155+(2014+2*$D$4-$A155)/((2-1)*$D$4)*Y155</f>
        <v>0</v>
      </c>
      <c r="BC155" s="5">
        <f>($A155-2015)/((2-1)*$D$4)*Y155+(2015+2*$D$4-$A155)/((2-1)*$D$4)*Z155</f>
        <v>0</v>
      </c>
      <c r="BD155" s="5">
        <f>($A155-2016)/((2-1)*$D$4)*Z155+(2016+2*$D$4-$A155)/((2-1)*$D$4)*AA155</f>
        <v>0</v>
      </c>
      <c r="BE155" s="5">
        <f>($A155-2017)/((2-1)*$D$4)*AA155+(2017+2*$D$4-$A155)/((2-1)*$D$4)*AB155</f>
        <v>0</v>
      </c>
      <c r="BF155" s="5">
        <f>($A155-2018)/((2-1)*$D$4)*AB155+(2018+2*$D$4-$A155)/((2-1)*$D$4)*AC155</f>
        <v>0</v>
      </c>
      <c r="BG155" s="5">
        <f>($A155-2019)/((2-1)*$D$4)*AC155+(2019+2*$D$4-$A155)/((2-1)*$D$4)*AD155</f>
        <v>0</v>
      </c>
      <c r="BH155" s="5">
        <f>($A155-2020)/((2-1)*$D$4)*AD155+(2020+2*$D$4-$A155)/((2-1)*$D$4)*AE155</f>
        <v>0</v>
      </c>
      <c r="BI155" s="5">
        <f>($A155-1992)/((3-1)*$D$4)*AF155+(1992+3*$D$4-$A155)/((3-1)*$D$4)*AG155</f>
        <v>0</v>
      </c>
      <c r="BJ155" s="5">
        <f>($A155-1993)/((3-1)*$D$4)*AG155+(1993+3*$D$4-$A155)/((3-1)*$D$4)*AH155</f>
        <v>0</v>
      </c>
      <c r="BK155" s="5">
        <f>($A155-1994)/((3-1)*$D$4)*AH155+(1994+3*$D$4-$A155)/((3-1)*$D$4)*AI155</f>
        <v>0</v>
      </c>
      <c r="BL155" s="5">
        <f>($A155-1995)/((3-1)*$D$4)*AI155+(1995+3*$D$4-$A155)/((3-1)*$D$4)*AJ155</f>
        <v>0</v>
      </c>
      <c r="BM155" s="5">
        <f>($A155-1996)/((3-1)*$D$4)*AJ155+(1996+3*$D$4-$A155)/((3-1)*$D$4)*AK155</f>
        <v>0</v>
      </c>
      <c r="BN155" s="5">
        <f>($A155-1997)/((3-1)*$D$4)*AK155+(1997+3*$D$4-$A155)/((3-1)*$D$4)*AL155</f>
        <v>0</v>
      </c>
      <c r="BO155" s="5">
        <f>($A155-1998)/((3-1)*$D$4)*AL155+(1998+3*$D$4-$A155)/((3-1)*$D$4)*AM155</f>
        <v>0.5</v>
      </c>
      <c r="BP155" s="5">
        <f>($A155-1999)/((3-1)*$D$4)*AM155+(1999+3*$D$4-$A155)/((3-1)*$D$4)*AN155</f>
        <v>0.5</v>
      </c>
      <c r="BQ155" s="5">
        <f>($A155-2000)/((3-1)*$D$4)*AN155+(2000+3*$D$4-$A155)/((3-1)*$D$4)*AO155</f>
        <v>0</v>
      </c>
      <c r="BR155" s="5">
        <f>($A155-2001)/((3-1)*$D$4)*AO155+(2001+3*$D$4-$A155)/((3-1)*$D$4)*AP155</f>
        <v>0</v>
      </c>
      <c r="BS155" s="5">
        <f>($A155-2002)/((3-1)*$D$4)*AP155+(2002+3*$D$4-$A155)/((3-1)*$D$4)*AQ155</f>
        <v>0</v>
      </c>
      <c r="BT155" s="5">
        <f>($A155-2003)/((3-1)*$D$4)*AQ155+(2003+3*$D$4-$A155)/((3-1)*$D$4)*AR155</f>
        <v>0</v>
      </c>
      <c r="BU155" s="5">
        <f>($A155-2004)/((3-1)*$D$4)*AR155+(2004+3*$D$4-$A155)/((3-1)*$D$4)*AS155</f>
        <v>0</v>
      </c>
      <c r="BV155" s="5">
        <f>($A155-2005)/((3-1)*$D$4)*AS155+(2005+3*$D$4-$A155)/((3-1)*$D$4)*AT155</f>
        <v>0</v>
      </c>
      <c r="BW155" s="5">
        <f>($A155-2006)/((3-1)*$D$4)*AT155+(2006+3*$D$4-$A155)/((3-1)*$D$4)*AU155</f>
        <v>0</v>
      </c>
      <c r="BX155" s="5">
        <f>($A155-2007)/((3-1)*$D$4)*AU155+(2007+3*$D$4-$A155)/((3-1)*$D$4)*AV155</f>
        <v>0</v>
      </c>
      <c r="BY155" s="5">
        <f>($A155-2008)/((3-1)*$D$4)*AV155+(2008+3*$D$4-$A155)/((3-1)*$D$4)*AW155</f>
        <v>0</v>
      </c>
      <c r="BZ155" s="5">
        <f>($A155-2009)/((3-1)*$D$4)*AW155+(2009+3*$D$4-$A155)/((3-1)*$D$4)*AX155</f>
        <v>0</v>
      </c>
      <c r="CA155" s="5">
        <f>($A155-2010)/((3-1)*$D$4)*AX155+(2010+3*$D$4-$A155)/((3-1)*$D$4)*AY155</f>
        <v>0</v>
      </c>
      <c r="CB155" s="5">
        <f>($A155-2011)/((3-1)*$D$4)*AY155+(2011+3*$D$4-$A155)/((3-1)*$D$4)*AZ155</f>
        <v>0</v>
      </c>
      <c r="CC155" s="5">
        <f>($A155-2012)/((3-1)*$D$4)*AZ155+(2012+3*$D$4-$A155)/((3-1)*$D$4)*BA155</f>
        <v>0</v>
      </c>
      <c r="CD155" s="5">
        <f>($A155-2013)/((3-1)*$D$4)*BA155+(2013+3*$D$4-$A155)/((3-1)*$D$4)*BB155</f>
        <v>0</v>
      </c>
      <c r="CE155" s="5">
        <f>($A155-2014)/((3-1)*$D$4)*BB155+(2014+3*$D$4-$A155)/((3-1)*$D$4)*BC155</f>
        <v>0</v>
      </c>
      <c r="CF155" s="5">
        <f>($A155-2015)/((3-1)*$D$4)*BC155+(2015+3*$D$4-$A155)/((3-1)*$D$4)*BD155</f>
        <v>0</v>
      </c>
      <c r="CG155" s="5">
        <f>($A155-2016)/((3-1)*$D$4)*BD155+(2016+3*$D$4-$A155)/((3-1)*$D$4)*BE155</f>
        <v>0</v>
      </c>
      <c r="CH155" s="5">
        <f>($A155-2017)/((3-1)*$D$4)*BE155+(2017+3*$D$4-$A155)/((3-1)*$D$4)*BF155</f>
        <v>0</v>
      </c>
      <c r="CI155" s="5">
        <f>($A155-2018)/((3-1)*$D$4)*BF155+(2018+3*$D$4-$A155)/((3-1)*$D$4)*BG155</f>
        <v>0</v>
      </c>
      <c r="CJ155" s="5">
        <f>($A155-2019)/((3-1)*$D$4)*BG155+(2019+3*$D$4-$A155)/((3-1)*$D$4)*BH155</f>
        <v>0</v>
      </c>
      <c r="CK155" s="5">
        <f>($A155-1992)/((4-1)*$D$4)*BI155+(1992+4*$D$4-$A155)/((4-1)*$D$4)*BJ155</f>
        <v>0</v>
      </c>
      <c r="CL155" s="5">
        <f>($A155-1993)/((4-1)*$D$4)*BJ155+(1993+4*$D$4-$A155)/((4-1)*$D$4)*BK155</f>
        <v>0</v>
      </c>
      <c r="CM155" s="5">
        <f>($A155-1994)/((4-1)*$D$4)*BK155+(1994+4*$D$4-$A155)/((4-1)*$D$4)*BL155</f>
        <v>0</v>
      </c>
      <c r="CN155" s="5">
        <f>($A155-1995)/((4-1)*$D$4)*BL155+(1995+4*$D$4-$A155)/((4-1)*$D$4)*BM155</f>
        <v>0</v>
      </c>
      <c r="CO155" s="5">
        <f>($A155-1996)/((4-1)*$D$4)*BM155+(1996+4*$D$4-$A155)/((4-1)*$D$4)*BN155</f>
        <v>0</v>
      </c>
      <c r="CP155" s="5">
        <f>($A155-1997)/((4-1)*$D$4)*BN155+(1997+4*$D$4-$A155)/((4-1)*$D$4)*BO155</f>
        <v>0.16666666666666666</v>
      </c>
      <c r="CQ155" s="5">
        <f>($A155-1998)/((4-1)*$D$4)*BO155+(1998+4*$D$4-$A155)/((4-1)*$D$4)*BP155</f>
        <v>0.66666666666666663</v>
      </c>
      <c r="CR155" s="5">
        <f>($A155-1999)/((4-1)*$D$4)*BP155+(1999+4*$D$4-$A155)/((4-1)*$D$4)*BQ155</f>
        <v>0.16666666666666666</v>
      </c>
      <c r="CS155" s="5">
        <f>($A155-2000)/((4-1)*$D$4)*BQ155+(2000+4*$D$4-$A155)/((4-1)*$D$4)*BR155</f>
        <v>0</v>
      </c>
      <c r="CT155" s="5">
        <f>($A155-2001)/((4-1)*$D$4)*BR155+(2001+4*$D$4-$A155)/((4-1)*$D$4)*BS155</f>
        <v>0</v>
      </c>
      <c r="CU155" s="5">
        <f>($A155-2002)/((4-1)*$D$4)*BS155+(2002+4*$D$4-$A155)/((4-1)*$D$4)*BT155</f>
        <v>0</v>
      </c>
      <c r="CV155" s="5">
        <f>($A155-2003)/((4-1)*$D$4)*BT155+(2003+4*$D$4-$A155)/((4-1)*$D$4)*BU155</f>
        <v>0</v>
      </c>
      <c r="CW155" s="5">
        <f>($A155-2004)/((4-1)*$D$4)*BU155+(2004+4*$D$4-$A155)/((4-1)*$D$4)*BV155</f>
        <v>0</v>
      </c>
      <c r="CX155" s="5">
        <f>($A155-2005)/((4-1)*$D$4)*BV155+(2005+4*$D$4-$A155)/((4-1)*$D$4)*BW155</f>
        <v>0</v>
      </c>
      <c r="CY155" s="5">
        <f>($A155-2006)/((4-1)*$D$4)*BW155+(2006+4*$D$4-$A155)/((4-1)*$D$4)*BX155</f>
        <v>0</v>
      </c>
      <c r="CZ155" s="5">
        <f>($A155-2007)/((4-1)*$D$4)*BX155+(2007+4*$D$4-$A155)/((4-1)*$D$4)*BY155</f>
        <v>0</v>
      </c>
      <c r="DA155" s="5">
        <f>($A155-2008)/((4-1)*$D$4)*BY155+(2008+4*$D$4-$A155)/((4-1)*$D$4)*BZ155</f>
        <v>0</v>
      </c>
      <c r="DB155" s="5">
        <f>($A155-2009)/((4-1)*$D$4)*BZ155+(2009+4*$D$4-$A155)/((4-1)*$D$4)*CA155</f>
        <v>0</v>
      </c>
      <c r="DC155" s="5">
        <f>($A155-2010)/((4-1)*$D$4)*CA155+(2010+4*$D$4-$A155)/((4-1)*$D$4)*CB155</f>
        <v>0</v>
      </c>
      <c r="DD155" s="5">
        <f>($A155-2011)/((4-1)*$D$4)*CB155+(2011+4*$D$4-$A155)/((4-1)*$D$4)*CC155</f>
        <v>0</v>
      </c>
      <c r="DE155" s="5">
        <f>($A155-2012)/((4-1)*$D$4)*CC155+(2012+4*$D$4-$A155)/((4-1)*$D$4)*CD155</f>
        <v>0</v>
      </c>
      <c r="DF155" s="5">
        <f>($A155-2013)/((4-1)*$D$4)*CD155+(2013+4*$D$4-$A155)/((4-1)*$D$4)*CE155</f>
        <v>0</v>
      </c>
      <c r="DG155" s="5">
        <f>($A155-2014)/((4-1)*$D$4)*CE155+(2014+4*$D$4-$A155)/((4-1)*$D$4)*CF155</f>
        <v>0</v>
      </c>
      <c r="DH155" s="5">
        <f>($A155-2015)/((4-1)*$D$4)*CF155+(2015+4*$D$4-$A155)/((4-1)*$D$4)*CG155</f>
        <v>0</v>
      </c>
      <c r="DI155" s="5">
        <f>($A155-2016)/((4-1)*$D$4)*CG155+(2016+4*$D$4-$A155)/((4-1)*$D$4)*CH155</f>
        <v>0</v>
      </c>
      <c r="DJ155" s="5">
        <f>($A155-2017)/((4-1)*$D$4)*CH155+(2017+4*$D$4-$A155)/((4-1)*$D$4)*CI155</f>
        <v>0</v>
      </c>
      <c r="DK155" s="5">
        <f>($A155-2018)/((4-1)*$D$4)*CI155+(2018+4*$D$4-$A155)/((4-1)*$D$4)*CJ155</f>
        <v>0</v>
      </c>
    </row>
    <row r="156">
      <c r="A156" s="3" t="n">
        <v>2001</v>
      </c>
      <c r="B156" s="5">
        <f>IF(AND($A156&gt;=1992,$A156&lt;1993),1,0)</f>
        <v>0</v>
      </c>
      <c r="C156" s="5">
        <f>IF(AND($A156&gt;=1993,$A156&lt;1994),1,0)</f>
        <v>0</v>
      </c>
      <c r="D156" s="5">
        <f>IF(AND($A156&gt;=1994,$A156&lt;1995),1,0)</f>
        <v>0</v>
      </c>
      <c r="E156" s="5">
        <f>IF(AND($A156&gt;=1995,$A156&lt;1996),1,0)</f>
        <v>0</v>
      </c>
      <c r="F156" s="5">
        <f>IF(AND($A156&gt;=1996,$A156&lt;1997),1,0)</f>
        <v>0</v>
      </c>
      <c r="G156" s="5">
        <f>IF(AND($A156&gt;=1997,$A156&lt;1998),1,0)</f>
        <v>0</v>
      </c>
      <c r="H156" s="5">
        <f>IF(AND($A156&gt;=1998,$A156&lt;1999),1,0)</f>
        <v>0</v>
      </c>
      <c r="I156" s="5">
        <f>IF(AND($A156&gt;=1999,$A156&lt;2000),1,0)</f>
        <v>0</v>
      </c>
      <c r="J156" s="5">
        <f>IF(AND($A156&gt;=2000,$A156&lt;2001),1,0)</f>
        <v>0</v>
      </c>
      <c r="K156" s="5">
        <f>IF(AND($A156&gt;=2001,$A156&lt;2002),1,0)</f>
        <v>1</v>
      </c>
      <c r="L156" s="5">
        <f>IF(AND($A156&gt;=2002,$A156&lt;2003),1,0)</f>
        <v>0</v>
      </c>
      <c r="M156" s="5">
        <f>IF(AND($A156&gt;=2003,$A156&lt;2004),1,0)</f>
        <v>0</v>
      </c>
      <c r="N156" s="5">
        <f>IF(AND($A156&gt;=2004,$A156&lt;2005),1,0)</f>
        <v>0</v>
      </c>
      <c r="O156" s="5">
        <f>IF(AND($A156&gt;=2005,$A156&lt;2006),1,0)</f>
        <v>0</v>
      </c>
      <c r="P156" s="5">
        <f>IF(AND($A156&gt;=2006,$A156&lt;2007),1,0)</f>
        <v>0</v>
      </c>
      <c r="Q156" s="5">
        <f>IF(AND($A156&gt;=2007,$A156&lt;2008),1,0)</f>
        <v>0</v>
      </c>
      <c r="R156" s="5">
        <f>IF(AND($A156&gt;=2008,$A156&lt;2009),1,0)</f>
        <v>0</v>
      </c>
      <c r="S156" s="5">
        <f>IF(AND($A156&gt;=2009,$A156&lt;2010),1,0)</f>
        <v>0</v>
      </c>
      <c r="T156" s="5">
        <f>IF(AND($A156&gt;=2010,$A156&lt;2011),1,0)</f>
        <v>0</v>
      </c>
      <c r="U156" s="5">
        <f>IF(AND($A156&gt;=2011,$A156&lt;2012),1,0)</f>
        <v>0</v>
      </c>
      <c r="V156" s="5">
        <f>IF(AND($A156&gt;=2012,$A156&lt;2013),1,0)</f>
        <v>0</v>
      </c>
      <c r="W156" s="5">
        <f>IF(AND($A156&gt;=2013,$A156&lt;2014),1,0)</f>
        <v>0</v>
      </c>
      <c r="X156" s="5">
        <f>IF(AND($A156&gt;=2014,$A156&lt;2015),1,0)</f>
        <v>0</v>
      </c>
      <c r="Y156" s="5">
        <f>IF(AND($A156&gt;=2015,$A156&lt;2016),1,0)</f>
        <v>0</v>
      </c>
      <c r="Z156" s="5">
        <f>IF(AND($A156&gt;=2016,$A156&lt;2017),1,0)</f>
        <v>0</v>
      </c>
      <c r="AA156" s="5">
        <f>IF(AND($A156&gt;=2017,$A156&lt;2018),1,0)</f>
        <v>0</v>
      </c>
      <c r="AB156" s="5">
        <f>IF(AND($A156&gt;=2018,$A156&lt;2019),1,0)</f>
        <v>0</v>
      </c>
      <c r="AC156" s="5">
        <f>IF(AND($A156&gt;=2019,$A156&lt;2020),1,0)</f>
        <v>0</v>
      </c>
      <c r="AD156" s="5">
        <f>IF(AND($A156&gt;=2020,$A156&lt;2021),1,0)</f>
        <v>0</v>
      </c>
      <c r="AE156" s="5">
        <f>IF(AND($A156&gt;=2021,$A156&lt;2022),1,0)</f>
        <v>0</v>
      </c>
      <c r="AF156" s="5">
        <f>($A156-1992)/((2-1)*$D$4)*B156+(1992+2*$D$4-$A156)/((2-1)*$D$4)*C156</f>
        <v>0</v>
      </c>
      <c r="AG156" s="5">
        <f>($A156-1993)/((2-1)*$D$4)*C156+(1993+2*$D$4-$A156)/((2-1)*$D$4)*D156</f>
        <v>0</v>
      </c>
      <c r="AH156" s="5">
        <f>($A156-1994)/((2-1)*$D$4)*D156+(1994+2*$D$4-$A156)/((2-1)*$D$4)*E156</f>
        <v>0</v>
      </c>
      <c r="AI156" s="5">
        <f>($A156-1995)/((2-1)*$D$4)*E156+(1995+2*$D$4-$A156)/((2-1)*$D$4)*F156</f>
        <v>0</v>
      </c>
      <c r="AJ156" s="5">
        <f>($A156-1996)/((2-1)*$D$4)*F156+(1996+2*$D$4-$A156)/((2-1)*$D$4)*G156</f>
        <v>0</v>
      </c>
      <c r="AK156" s="5">
        <f>($A156-1997)/((2-1)*$D$4)*G156+(1997+2*$D$4-$A156)/((2-1)*$D$4)*H156</f>
        <v>0</v>
      </c>
      <c r="AL156" s="5">
        <f>($A156-1998)/((2-1)*$D$4)*H156+(1998+2*$D$4-$A156)/((2-1)*$D$4)*I156</f>
        <v>0</v>
      </c>
      <c r="AM156" s="5">
        <f>($A156-1999)/((2-1)*$D$4)*I156+(1999+2*$D$4-$A156)/((2-1)*$D$4)*J156</f>
        <v>0</v>
      </c>
      <c r="AN156" s="5">
        <f>($A156-2000)/((2-1)*$D$4)*J156+(2000+2*$D$4-$A156)/((2-1)*$D$4)*K156</f>
        <v>1</v>
      </c>
      <c r="AO156" s="5">
        <f>($A156-2001)/((2-1)*$D$4)*K156+(2001+2*$D$4-$A156)/((2-1)*$D$4)*L156</f>
        <v>0</v>
      </c>
      <c r="AP156" s="5">
        <f>($A156-2002)/((2-1)*$D$4)*L156+(2002+2*$D$4-$A156)/((2-1)*$D$4)*M156</f>
        <v>0</v>
      </c>
      <c r="AQ156" s="5">
        <f>($A156-2003)/((2-1)*$D$4)*M156+(2003+2*$D$4-$A156)/((2-1)*$D$4)*N156</f>
        <v>0</v>
      </c>
      <c r="AR156" s="5">
        <f>($A156-2004)/((2-1)*$D$4)*N156+(2004+2*$D$4-$A156)/((2-1)*$D$4)*O156</f>
        <v>0</v>
      </c>
      <c r="AS156" s="5">
        <f>($A156-2005)/((2-1)*$D$4)*O156+(2005+2*$D$4-$A156)/((2-1)*$D$4)*P156</f>
        <v>0</v>
      </c>
      <c r="AT156" s="5">
        <f>($A156-2006)/((2-1)*$D$4)*P156+(2006+2*$D$4-$A156)/((2-1)*$D$4)*Q156</f>
        <v>0</v>
      </c>
      <c r="AU156" s="5">
        <f>($A156-2007)/((2-1)*$D$4)*Q156+(2007+2*$D$4-$A156)/((2-1)*$D$4)*R156</f>
        <v>0</v>
      </c>
      <c r="AV156" s="5">
        <f>($A156-2008)/((2-1)*$D$4)*R156+(2008+2*$D$4-$A156)/((2-1)*$D$4)*S156</f>
        <v>0</v>
      </c>
      <c r="AW156" s="5">
        <f>($A156-2009)/((2-1)*$D$4)*S156+(2009+2*$D$4-$A156)/((2-1)*$D$4)*T156</f>
        <v>0</v>
      </c>
      <c r="AX156" s="5">
        <f>($A156-2010)/((2-1)*$D$4)*T156+(2010+2*$D$4-$A156)/((2-1)*$D$4)*U156</f>
        <v>0</v>
      </c>
      <c r="AY156" s="5">
        <f>($A156-2011)/((2-1)*$D$4)*U156+(2011+2*$D$4-$A156)/((2-1)*$D$4)*V156</f>
        <v>0</v>
      </c>
      <c r="AZ156" s="5">
        <f>($A156-2012)/((2-1)*$D$4)*V156+(2012+2*$D$4-$A156)/((2-1)*$D$4)*W156</f>
        <v>0</v>
      </c>
      <c r="BA156" s="5">
        <f>($A156-2013)/((2-1)*$D$4)*W156+(2013+2*$D$4-$A156)/((2-1)*$D$4)*X156</f>
        <v>0</v>
      </c>
      <c r="BB156" s="5">
        <f>($A156-2014)/((2-1)*$D$4)*X156+(2014+2*$D$4-$A156)/((2-1)*$D$4)*Y156</f>
        <v>0</v>
      </c>
      <c r="BC156" s="5">
        <f>($A156-2015)/((2-1)*$D$4)*Y156+(2015+2*$D$4-$A156)/((2-1)*$D$4)*Z156</f>
        <v>0</v>
      </c>
      <c r="BD156" s="5">
        <f>($A156-2016)/((2-1)*$D$4)*Z156+(2016+2*$D$4-$A156)/((2-1)*$D$4)*AA156</f>
        <v>0</v>
      </c>
      <c r="BE156" s="5">
        <f>($A156-2017)/((2-1)*$D$4)*AA156+(2017+2*$D$4-$A156)/((2-1)*$D$4)*AB156</f>
        <v>0</v>
      </c>
      <c r="BF156" s="5">
        <f>($A156-2018)/((2-1)*$D$4)*AB156+(2018+2*$D$4-$A156)/((2-1)*$D$4)*AC156</f>
        <v>0</v>
      </c>
      <c r="BG156" s="5">
        <f>($A156-2019)/((2-1)*$D$4)*AC156+(2019+2*$D$4-$A156)/((2-1)*$D$4)*AD156</f>
        <v>0</v>
      </c>
      <c r="BH156" s="5">
        <f>($A156-2020)/((2-1)*$D$4)*AD156+(2020+2*$D$4-$A156)/((2-1)*$D$4)*AE156</f>
        <v>0</v>
      </c>
      <c r="BI156" s="5">
        <f>($A156-1992)/((3-1)*$D$4)*AF156+(1992+3*$D$4-$A156)/((3-1)*$D$4)*AG156</f>
        <v>0</v>
      </c>
      <c r="BJ156" s="5">
        <f>($A156-1993)/((3-1)*$D$4)*AG156+(1993+3*$D$4-$A156)/((3-1)*$D$4)*AH156</f>
        <v>0</v>
      </c>
      <c r="BK156" s="5">
        <f>($A156-1994)/((3-1)*$D$4)*AH156+(1994+3*$D$4-$A156)/((3-1)*$D$4)*AI156</f>
        <v>0</v>
      </c>
      <c r="BL156" s="5">
        <f>($A156-1995)/((3-1)*$D$4)*AI156+(1995+3*$D$4-$A156)/((3-1)*$D$4)*AJ156</f>
        <v>0</v>
      </c>
      <c r="BM156" s="5">
        <f>($A156-1996)/((3-1)*$D$4)*AJ156+(1996+3*$D$4-$A156)/((3-1)*$D$4)*AK156</f>
        <v>0</v>
      </c>
      <c r="BN156" s="5">
        <f>($A156-1997)/((3-1)*$D$4)*AK156+(1997+3*$D$4-$A156)/((3-1)*$D$4)*AL156</f>
        <v>0</v>
      </c>
      <c r="BO156" s="5">
        <f>($A156-1998)/((3-1)*$D$4)*AL156+(1998+3*$D$4-$A156)/((3-1)*$D$4)*AM156</f>
        <v>0</v>
      </c>
      <c r="BP156" s="5">
        <f>($A156-1999)/((3-1)*$D$4)*AM156+(1999+3*$D$4-$A156)/((3-1)*$D$4)*AN156</f>
        <v>0.5</v>
      </c>
      <c r="BQ156" s="5">
        <f>($A156-2000)/((3-1)*$D$4)*AN156+(2000+3*$D$4-$A156)/((3-1)*$D$4)*AO156</f>
        <v>0.5</v>
      </c>
      <c r="BR156" s="5">
        <f>($A156-2001)/((3-1)*$D$4)*AO156+(2001+3*$D$4-$A156)/((3-1)*$D$4)*AP156</f>
        <v>0</v>
      </c>
      <c r="BS156" s="5">
        <f>($A156-2002)/((3-1)*$D$4)*AP156+(2002+3*$D$4-$A156)/((3-1)*$D$4)*AQ156</f>
        <v>0</v>
      </c>
      <c r="BT156" s="5">
        <f>($A156-2003)/((3-1)*$D$4)*AQ156+(2003+3*$D$4-$A156)/((3-1)*$D$4)*AR156</f>
        <v>0</v>
      </c>
      <c r="BU156" s="5">
        <f>($A156-2004)/((3-1)*$D$4)*AR156+(2004+3*$D$4-$A156)/((3-1)*$D$4)*AS156</f>
        <v>0</v>
      </c>
      <c r="BV156" s="5">
        <f>($A156-2005)/((3-1)*$D$4)*AS156+(2005+3*$D$4-$A156)/((3-1)*$D$4)*AT156</f>
        <v>0</v>
      </c>
      <c r="BW156" s="5">
        <f>($A156-2006)/((3-1)*$D$4)*AT156+(2006+3*$D$4-$A156)/((3-1)*$D$4)*AU156</f>
        <v>0</v>
      </c>
      <c r="BX156" s="5">
        <f>($A156-2007)/((3-1)*$D$4)*AU156+(2007+3*$D$4-$A156)/((3-1)*$D$4)*AV156</f>
        <v>0</v>
      </c>
      <c r="BY156" s="5">
        <f>($A156-2008)/((3-1)*$D$4)*AV156+(2008+3*$D$4-$A156)/((3-1)*$D$4)*AW156</f>
        <v>0</v>
      </c>
      <c r="BZ156" s="5">
        <f>($A156-2009)/((3-1)*$D$4)*AW156+(2009+3*$D$4-$A156)/((3-1)*$D$4)*AX156</f>
        <v>0</v>
      </c>
      <c r="CA156" s="5">
        <f>($A156-2010)/((3-1)*$D$4)*AX156+(2010+3*$D$4-$A156)/((3-1)*$D$4)*AY156</f>
        <v>0</v>
      </c>
      <c r="CB156" s="5">
        <f>($A156-2011)/((3-1)*$D$4)*AY156+(2011+3*$D$4-$A156)/((3-1)*$D$4)*AZ156</f>
        <v>0</v>
      </c>
      <c r="CC156" s="5">
        <f>($A156-2012)/((3-1)*$D$4)*AZ156+(2012+3*$D$4-$A156)/((3-1)*$D$4)*BA156</f>
        <v>0</v>
      </c>
      <c r="CD156" s="5">
        <f>($A156-2013)/((3-1)*$D$4)*BA156+(2013+3*$D$4-$A156)/((3-1)*$D$4)*BB156</f>
        <v>0</v>
      </c>
      <c r="CE156" s="5">
        <f>($A156-2014)/((3-1)*$D$4)*BB156+(2014+3*$D$4-$A156)/((3-1)*$D$4)*BC156</f>
        <v>0</v>
      </c>
      <c r="CF156" s="5">
        <f>($A156-2015)/((3-1)*$D$4)*BC156+(2015+3*$D$4-$A156)/((3-1)*$D$4)*BD156</f>
        <v>0</v>
      </c>
      <c r="CG156" s="5">
        <f>($A156-2016)/((3-1)*$D$4)*BD156+(2016+3*$D$4-$A156)/((3-1)*$D$4)*BE156</f>
        <v>0</v>
      </c>
      <c r="CH156" s="5">
        <f>($A156-2017)/((3-1)*$D$4)*BE156+(2017+3*$D$4-$A156)/((3-1)*$D$4)*BF156</f>
        <v>0</v>
      </c>
      <c r="CI156" s="5">
        <f>($A156-2018)/((3-1)*$D$4)*BF156+(2018+3*$D$4-$A156)/((3-1)*$D$4)*BG156</f>
        <v>0</v>
      </c>
      <c r="CJ156" s="5">
        <f>($A156-2019)/((3-1)*$D$4)*BG156+(2019+3*$D$4-$A156)/((3-1)*$D$4)*BH156</f>
        <v>0</v>
      </c>
      <c r="CK156" s="5">
        <f>($A156-1992)/((4-1)*$D$4)*BI156+(1992+4*$D$4-$A156)/((4-1)*$D$4)*BJ156</f>
        <v>0</v>
      </c>
      <c r="CL156" s="5">
        <f>($A156-1993)/((4-1)*$D$4)*BJ156+(1993+4*$D$4-$A156)/((4-1)*$D$4)*BK156</f>
        <v>0</v>
      </c>
      <c r="CM156" s="5">
        <f>($A156-1994)/((4-1)*$D$4)*BK156+(1994+4*$D$4-$A156)/((4-1)*$D$4)*BL156</f>
        <v>0</v>
      </c>
      <c r="CN156" s="5">
        <f>($A156-1995)/((4-1)*$D$4)*BL156+(1995+4*$D$4-$A156)/((4-1)*$D$4)*BM156</f>
        <v>0</v>
      </c>
      <c r="CO156" s="5">
        <f>($A156-1996)/((4-1)*$D$4)*BM156+(1996+4*$D$4-$A156)/((4-1)*$D$4)*BN156</f>
        <v>0</v>
      </c>
      <c r="CP156" s="5">
        <f>($A156-1997)/((4-1)*$D$4)*BN156+(1997+4*$D$4-$A156)/((4-1)*$D$4)*BO156</f>
        <v>0</v>
      </c>
      <c r="CQ156" s="5">
        <f>($A156-1998)/((4-1)*$D$4)*BO156+(1998+4*$D$4-$A156)/((4-1)*$D$4)*BP156</f>
        <v>0.16666666666666666</v>
      </c>
      <c r="CR156" s="5">
        <f>($A156-1999)/((4-1)*$D$4)*BP156+(1999+4*$D$4-$A156)/((4-1)*$D$4)*BQ156</f>
        <v>0.66666666666666663</v>
      </c>
      <c r="CS156" s="5">
        <f>($A156-2000)/((4-1)*$D$4)*BQ156+(2000+4*$D$4-$A156)/((4-1)*$D$4)*BR156</f>
        <v>0.16666666666666666</v>
      </c>
      <c r="CT156" s="5">
        <f>($A156-2001)/((4-1)*$D$4)*BR156+(2001+4*$D$4-$A156)/((4-1)*$D$4)*BS156</f>
        <v>0</v>
      </c>
      <c r="CU156" s="5">
        <f>($A156-2002)/((4-1)*$D$4)*BS156+(2002+4*$D$4-$A156)/((4-1)*$D$4)*BT156</f>
        <v>0</v>
      </c>
      <c r="CV156" s="5">
        <f>($A156-2003)/((4-1)*$D$4)*BT156+(2003+4*$D$4-$A156)/((4-1)*$D$4)*BU156</f>
        <v>0</v>
      </c>
      <c r="CW156" s="5">
        <f>($A156-2004)/((4-1)*$D$4)*BU156+(2004+4*$D$4-$A156)/((4-1)*$D$4)*BV156</f>
        <v>0</v>
      </c>
      <c r="CX156" s="5">
        <f>($A156-2005)/((4-1)*$D$4)*BV156+(2005+4*$D$4-$A156)/((4-1)*$D$4)*BW156</f>
        <v>0</v>
      </c>
      <c r="CY156" s="5">
        <f>($A156-2006)/((4-1)*$D$4)*BW156+(2006+4*$D$4-$A156)/((4-1)*$D$4)*BX156</f>
        <v>0</v>
      </c>
      <c r="CZ156" s="5">
        <f>($A156-2007)/((4-1)*$D$4)*BX156+(2007+4*$D$4-$A156)/((4-1)*$D$4)*BY156</f>
        <v>0</v>
      </c>
      <c r="DA156" s="5">
        <f>($A156-2008)/((4-1)*$D$4)*BY156+(2008+4*$D$4-$A156)/((4-1)*$D$4)*BZ156</f>
        <v>0</v>
      </c>
      <c r="DB156" s="5">
        <f>($A156-2009)/((4-1)*$D$4)*BZ156+(2009+4*$D$4-$A156)/((4-1)*$D$4)*CA156</f>
        <v>0</v>
      </c>
      <c r="DC156" s="5">
        <f>($A156-2010)/((4-1)*$D$4)*CA156+(2010+4*$D$4-$A156)/((4-1)*$D$4)*CB156</f>
        <v>0</v>
      </c>
      <c r="DD156" s="5">
        <f>($A156-2011)/((4-1)*$D$4)*CB156+(2011+4*$D$4-$A156)/((4-1)*$D$4)*CC156</f>
        <v>0</v>
      </c>
      <c r="DE156" s="5">
        <f>($A156-2012)/((4-1)*$D$4)*CC156+(2012+4*$D$4-$A156)/((4-1)*$D$4)*CD156</f>
        <v>0</v>
      </c>
      <c r="DF156" s="5">
        <f>($A156-2013)/((4-1)*$D$4)*CD156+(2013+4*$D$4-$A156)/((4-1)*$D$4)*CE156</f>
        <v>0</v>
      </c>
      <c r="DG156" s="5">
        <f>($A156-2014)/((4-1)*$D$4)*CE156+(2014+4*$D$4-$A156)/((4-1)*$D$4)*CF156</f>
        <v>0</v>
      </c>
      <c r="DH156" s="5">
        <f>($A156-2015)/((4-1)*$D$4)*CF156+(2015+4*$D$4-$A156)/((4-1)*$D$4)*CG156</f>
        <v>0</v>
      </c>
      <c r="DI156" s="5">
        <f>($A156-2016)/((4-1)*$D$4)*CG156+(2016+4*$D$4-$A156)/((4-1)*$D$4)*CH156</f>
        <v>0</v>
      </c>
      <c r="DJ156" s="5">
        <f>($A156-2017)/((4-1)*$D$4)*CH156+(2017+4*$D$4-$A156)/((4-1)*$D$4)*CI156</f>
        <v>0</v>
      </c>
      <c r="DK156" s="5">
        <f>($A156-2018)/((4-1)*$D$4)*CI156+(2018+4*$D$4-$A156)/((4-1)*$D$4)*CJ156</f>
        <v>0</v>
      </c>
    </row>
    <row r="157">
      <c r="A157" s="3" t="n">
        <v>2002</v>
      </c>
      <c r="B157" s="5">
        <f>IF(AND($A157&gt;=1992,$A157&lt;1993),1,0)</f>
        <v>0</v>
      </c>
      <c r="C157" s="5">
        <f>IF(AND($A157&gt;=1993,$A157&lt;1994),1,0)</f>
        <v>0</v>
      </c>
      <c r="D157" s="5">
        <f>IF(AND($A157&gt;=1994,$A157&lt;1995),1,0)</f>
        <v>0</v>
      </c>
      <c r="E157" s="5">
        <f>IF(AND($A157&gt;=1995,$A157&lt;1996),1,0)</f>
        <v>0</v>
      </c>
      <c r="F157" s="5">
        <f>IF(AND($A157&gt;=1996,$A157&lt;1997),1,0)</f>
        <v>0</v>
      </c>
      <c r="G157" s="5">
        <f>IF(AND($A157&gt;=1997,$A157&lt;1998),1,0)</f>
        <v>0</v>
      </c>
      <c r="H157" s="5">
        <f>IF(AND($A157&gt;=1998,$A157&lt;1999),1,0)</f>
        <v>0</v>
      </c>
      <c r="I157" s="5">
        <f>IF(AND($A157&gt;=1999,$A157&lt;2000),1,0)</f>
        <v>0</v>
      </c>
      <c r="J157" s="5">
        <f>IF(AND($A157&gt;=2000,$A157&lt;2001),1,0)</f>
        <v>0</v>
      </c>
      <c r="K157" s="5">
        <f>IF(AND($A157&gt;=2001,$A157&lt;2002),1,0)</f>
        <v>0</v>
      </c>
      <c r="L157" s="5">
        <f>IF(AND($A157&gt;=2002,$A157&lt;2003),1,0)</f>
        <v>1</v>
      </c>
      <c r="M157" s="5">
        <f>IF(AND($A157&gt;=2003,$A157&lt;2004),1,0)</f>
        <v>0</v>
      </c>
      <c r="N157" s="5">
        <f>IF(AND($A157&gt;=2004,$A157&lt;2005),1,0)</f>
        <v>0</v>
      </c>
      <c r="O157" s="5">
        <f>IF(AND($A157&gt;=2005,$A157&lt;2006),1,0)</f>
        <v>0</v>
      </c>
      <c r="P157" s="5">
        <f>IF(AND($A157&gt;=2006,$A157&lt;2007),1,0)</f>
        <v>0</v>
      </c>
      <c r="Q157" s="5">
        <f>IF(AND($A157&gt;=2007,$A157&lt;2008),1,0)</f>
        <v>0</v>
      </c>
      <c r="R157" s="5">
        <f>IF(AND($A157&gt;=2008,$A157&lt;2009),1,0)</f>
        <v>0</v>
      </c>
      <c r="S157" s="5">
        <f>IF(AND($A157&gt;=2009,$A157&lt;2010),1,0)</f>
        <v>0</v>
      </c>
      <c r="T157" s="5">
        <f>IF(AND($A157&gt;=2010,$A157&lt;2011),1,0)</f>
        <v>0</v>
      </c>
      <c r="U157" s="5">
        <f>IF(AND($A157&gt;=2011,$A157&lt;2012),1,0)</f>
        <v>0</v>
      </c>
      <c r="V157" s="5">
        <f>IF(AND($A157&gt;=2012,$A157&lt;2013),1,0)</f>
        <v>0</v>
      </c>
      <c r="W157" s="5">
        <f>IF(AND($A157&gt;=2013,$A157&lt;2014),1,0)</f>
        <v>0</v>
      </c>
      <c r="X157" s="5">
        <f>IF(AND($A157&gt;=2014,$A157&lt;2015),1,0)</f>
        <v>0</v>
      </c>
      <c r="Y157" s="5">
        <f>IF(AND($A157&gt;=2015,$A157&lt;2016),1,0)</f>
        <v>0</v>
      </c>
      <c r="Z157" s="5">
        <f>IF(AND($A157&gt;=2016,$A157&lt;2017),1,0)</f>
        <v>0</v>
      </c>
      <c r="AA157" s="5">
        <f>IF(AND($A157&gt;=2017,$A157&lt;2018),1,0)</f>
        <v>0</v>
      </c>
      <c r="AB157" s="5">
        <f>IF(AND($A157&gt;=2018,$A157&lt;2019),1,0)</f>
        <v>0</v>
      </c>
      <c r="AC157" s="5">
        <f>IF(AND($A157&gt;=2019,$A157&lt;2020),1,0)</f>
        <v>0</v>
      </c>
      <c r="AD157" s="5">
        <f>IF(AND($A157&gt;=2020,$A157&lt;2021),1,0)</f>
        <v>0</v>
      </c>
      <c r="AE157" s="5">
        <f>IF(AND($A157&gt;=2021,$A157&lt;2022),1,0)</f>
        <v>0</v>
      </c>
      <c r="AF157" s="5">
        <f>($A157-1992)/((2-1)*$D$4)*B157+(1992+2*$D$4-$A157)/((2-1)*$D$4)*C157</f>
        <v>0</v>
      </c>
      <c r="AG157" s="5">
        <f>($A157-1993)/((2-1)*$D$4)*C157+(1993+2*$D$4-$A157)/((2-1)*$D$4)*D157</f>
        <v>0</v>
      </c>
      <c r="AH157" s="5">
        <f>($A157-1994)/((2-1)*$D$4)*D157+(1994+2*$D$4-$A157)/((2-1)*$D$4)*E157</f>
        <v>0</v>
      </c>
      <c r="AI157" s="5">
        <f>($A157-1995)/((2-1)*$D$4)*E157+(1995+2*$D$4-$A157)/((2-1)*$D$4)*F157</f>
        <v>0</v>
      </c>
      <c r="AJ157" s="5">
        <f>($A157-1996)/((2-1)*$D$4)*F157+(1996+2*$D$4-$A157)/((2-1)*$D$4)*G157</f>
        <v>0</v>
      </c>
      <c r="AK157" s="5">
        <f>($A157-1997)/((2-1)*$D$4)*G157+(1997+2*$D$4-$A157)/((2-1)*$D$4)*H157</f>
        <v>0</v>
      </c>
      <c r="AL157" s="5">
        <f>($A157-1998)/((2-1)*$D$4)*H157+(1998+2*$D$4-$A157)/((2-1)*$D$4)*I157</f>
        <v>0</v>
      </c>
      <c r="AM157" s="5">
        <f>($A157-1999)/((2-1)*$D$4)*I157+(1999+2*$D$4-$A157)/((2-1)*$D$4)*J157</f>
        <v>0</v>
      </c>
      <c r="AN157" s="5">
        <f>($A157-2000)/((2-1)*$D$4)*J157+(2000+2*$D$4-$A157)/((2-1)*$D$4)*K157</f>
        <v>0</v>
      </c>
      <c r="AO157" s="5">
        <f>($A157-2001)/((2-1)*$D$4)*K157+(2001+2*$D$4-$A157)/((2-1)*$D$4)*L157</f>
        <v>1</v>
      </c>
      <c r="AP157" s="5">
        <f>($A157-2002)/((2-1)*$D$4)*L157+(2002+2*$D$4-$A157)/((2-1)*$D$4)*M157</f>
        <v>0</v>
      </c>
      <c r="AQ157" s="5">
        <f>($A157-2003)/((2-1)*$D$4)*M157+(2003+2*$D$4-$A157)/((2-1)*$D$4)*N157</f>
        <v>0</v>
      </c>
      <c r="AR157" s="5">
        <f>($A157-2004)/((2-1)*$D$4)*N157+(2004+2*$D$4-$A157)/((2-1)*$D$4)*O157</f>
        <v>0</v>
      </c>
      <c r="AS157" s="5">
        <f>($A157-2005)/((2-1)*$D$4)*O157+(2005+2*$D$4-$A157)/((2-1)*$D$4)*P157</f>
        <v>0</v>
      </c>
      <c r="AT157" s="5">
        <f>($A157-2006)/((2-1)*$D$4)*P157+(2006+2*$D$4-$A157)/((2-1)*$D$4)*Q157</f>
        <v>0</v>
      </c>
      <c r="AU157" s="5">
        <f>($A157-2007)/((2-1)*$D$4)*Q157+(2007+2*$D$4-$A157)/((2-1)*$D$4)*R157</f>
        <v>0</v>
      </c>
      <c r="AV157" s="5">
        <f>($A157-2008)/((2-1)*$D$4)*R157+(2008+2*$D$4-$A157)/((2-1)*$D$4)*S157</f>
        <v>0</v>
      </c>
      <c r="AW157" s="5">
        <f>($A157-2009)/((2-1)*$D$4)*S157+(2009+2*$D$4-$A157)/((2-1)*$D$4)*T157</f>
        <v>0</v>
      </c>
      <c r="AX157" s="5">
        <f>($A157-2010)/((2-1)*$D$4)*T157+(2010+2*$D$4-$A157)/((2-1)*$D$4)*U157</f>
        <v>0</v>
      </c>
      <c r="AY157" s="5">
        <f>($A157-2011)/((2-1)*$D$4)*U157+(2011+2*$D$4-$A157)/((2-1)*$D$4)*V157</f>
        <v>0</v>
      </c>
      <c r="AZ157" s="5">
        <f>($A157-2012)/((2-1)*$D$4)*V157+(2012+2*$D$4-$A157)/((2-1)*$D$4)*W157</f>
        <v>0</v>
      </c>
      <c r="BA157" s="5">
        <f>($A157-2013)/((2-1)*$D$4)*W157+(2013+2*$D$4-$A157)/((2-1)*$D$4)*X157</f>
        <v>0</v>
      </c>
      <c r="BB157" s="5">
        <f>($A157-2014)/((2-1)*$D$4)*X157+(2014+2*$D$4-$A157)/((2-1)*$D$4)*Y157</f>
        <v>0</v>
      </c>
      <c r="BC157" s="5">
        <f>($A157-2015)/((2-1)*$D$4)*Y157+(2015+2*$D$4-$A157)/((2-1)*$D$4)*Z157</f>
        <v>0</v>
      </c>
      <c r="BD157" s="5">
        <f>($A157-2016)/((2-1)*$D$4)*Z157+(2016+2*$D$4-$A157)/((2-1)*$D$4)*AA157</f>
        <v>0</v>
      </c>
      <c r="BE157" s="5">
        <f>($A157-2017)/((2-1)*$D$4)*AA157+(2017+2*$D$4-$A157)/((2-1)*$D$4)*AB157</f>
        <v>0</v>
      </c>
      <c r="BF157" s="5">
        <f>($A157-2018)/((2-1)*$D$4)*AB157+(2018+2*$D$4-$A157)/((2-1)*$D$4)*AC157</f>
        <v>0</v>
      </c>
      <c r="BG157" s="5">
        <f>($A157-2019)/((2-1)*$D$4)*AC157+(2019+2*$D$4-$A157)/((2-1)*$D$4)*AD157</f>
        <v>0</v>
      </c>
      <c r="BH157" s="5">
        <f>($A157-2020)/((2-1)*$D$4)*AD157+(2020+2*$D$4-$A157)/((2-1)*$D$4)*AE157</f>
        <v>0</v>
      </c>
      <c r="BI157" s="5">
        <f>($A157-1992)/((3-1)*$D$4)*AF157+(1992+3*$D$4-$A157)/((3-1)*$D$4)*AG157</f>
        <v>0</v>
      </c>
      <c r="BJ157" s="5">
        <f>($A157-1993)/((3-1)*$D$4)*AG157+(1993+3*$D$4-$A157)/((3-1)*$D$4)*AH157</f>
        <v>0</v>
      </c>
      <c r="BK157" s="5">
        <f>($A157-1994)/((3-1)*$D$4)*AH157+(1994+3*$D$4-$A157)/((3-1)*$D$4)*AI157</f>
        <v>0</v>
      </c>
      <c r="BL157" s="5">
        <f>($A157-1995)/((3-1)*$D$4)*AI157+(1995+3*$D$4-$A157)/((3-1)*$D$4)*AJ157</f>
        <v>0</v>
      </c>
      <c r="BM157" s="5">
        <f>($A157-1996)/((3-1)*$D$4)*AJ157+(1996+3*$D$4-$A157)/((3-1)*$D$4)*AK157</f>
        <v>0</v>
      </c>
      <c r="BN157" s="5">
        <f>($A157-1997)/((3-1)*$D$4)*AK157+(1997+3*$D$4-$A157)/((3-1)*$D$4)*AL157</f>
        <v>0</v>
      </c>
      <c r="BO157" s="5">
        <f>($A157-1998)/((3-1)*$D$4)*AL157+(1998+3*$D$4-$A157)/((3-1)*$D$4)*AM157</f>
        <v>0</v>
      </c>
      <c r="BP157" s="5">
        <f>($A157-1999)/((3-1)*$D$4)*AM157+(1999+3*$D$4-$A157)/((3-1)*$D$4)*AN157</f>
        <v>0</v>
      </c>
      <c r="BQ157" s="5">
        <f>($A157-2000)/((3-1)*$D$4)*AN157+(2000+3*$D$4-$A157)/((3-1)*$D$4)*AO157</f>
        <v>0.5</v>
      </c>
      <c r="BR157" s="5">
        <f>($A157-2001)/((3-1)*$D$4)*AO157+(2001+3*$D$4-$A157)/((3-1)*$D$4)*AP157</f>
        <v>0.5</v>
      </c>
      <c r="BS157" s="5">
        <f>($A157-2002)/((3-1)*$D$4)*AP157+(2002+3*$D$4-$A157)/((3-1)*$D$4)*AQ157</f>
        <v>0</v>
      </c>
      <c r="BT157" s="5">
        <f>($A157-2003)/((3-1)*$D$4)*AQ157+(2003+3*$D$4-$A157)/((3-1)*$D$4)*AR157</f>
        <v>0</v>
      </c>
      <c r="BU157" s="5">
        <f>($A157-2004)/((3-1)*$D$4)*AR157+(2004+3*$D$4-$A157)/((3-1)*$D$4)*AS157</f>
        <v>0</v>
      </c>
      <c r="BV157" s="5">
        <f>($A157-2005)/((3-1)*$D$4)*AS157+(2005+3*$D$4-$A157)/((3-1)*$D$4)*AT157</f>
        <v>0</v>
      </c>
      <c r="BW157" s="5">
        <f>($A157-2006)/((3-1)*$D$4)*AT157+(2006+3*$D$4-$A157)/((3-1)*$D$4)*AU157</f>
        <v>0</v>
      </c>
      <c r="BX157" s="5">
        <f>($A157-2007)/((3-1)*$D$4)*AU157+(2007+3*$D$4-$A157)/((3-1)*$D$4)*AV157</f>
        <v>0</v>
      </c>
      <c r="BY157" s="5">
        <f>($A157-2008)/((3-1)*$D$4)*AV157+(2008+3*$D$4-$A157)/((3-1)*$D$4)*AW157</f>
        <v>0</v>
      </c>
      <c r="BZ157" s="5">
        <f>($A157-2009)/((3-1)*$D$4)*AW157+(2009+3*$D$4-$A157)/((3-1)*$D$4)*AX157</f>
        <v>0</v>
      </c>
      <c r="CA157" s="5">
        <f>($A157-2010)/((3-1)*$D$4)*AX157+(2010+3*$D$4-$A157)/((3-1)*$D$4)*AY157</f>
        <v>0</v>
      </c>
      <c r="CB157" s="5">
        <f>($A157-2011)/((3-1)*$D$4)*AY157+(2011+3*$D$4-$A157)/((3-1)*$D$4)*AZ157</f>
        <v>0</v>
      </c>
      <c r="CC157" s="5">
        <f>($A157-2012)/((3-1)*$D$4)*AZ157+(2012+3*$D$4-$A157)/((3-1)*$D$4)*BA157</f>
        <v>0</v>
      </c>
      <c r="CD157" s="5">
        <f>($A157-2013)/((3-1)*$D$4)*BA157+(2013+3*$D$4-$A157)/((3-1)*$D$4)*BB157</f>
        <v>0</v>
      </c>
      <c r="CE157" s="5">
        <f>($A157-2014)/((3-1)*$D$4)*BB157+(2014+3*$D$4-$A157)/((3-1)*$D$4)*BC157</f>
        <v>0</v>
      </c>
      <c r="CF157" s="5">
        <f>($A157-2015)/((3-1)*$D$4)*BC157+(2015+3*$D$4-$A157)/((3-1)*$D$4)*BD157</f>
        <v>0</v>
      </c>
      <c r="CG157" s="5">
        <f>($A157-2016)/((3-1)*$D$4)*BD157+(2016+3*$D$4-$A157)/((3-1)*$D$4)*BE157</f>
        <v>0</v>
      </c>
      <c r="CH157" s="5">
        <f>($A157-2017)/((3-1)*$D$4)*BE157+(2017+3*$D$4-$A157)/((3-1)*$D$4)*BF157</f>
        <v>0</v>
      </c>
      <c r="CI157" s="5">
        <f>($A157-2018)/((3-1)*$D$4)*BF157+(2018+3*$D$4-$A157)/((3-1)*$D$4)*BG157</f>
        <v>0</v>
      </c>
      <c r="CJ157" s="5">
        <f>($A157-2019)/((3-1)*$D$4)*BG157+(2019+3*$D$4-$A157)/((3-1)*$D$4)*BH157</f>
        <v>0</v>
      </c>
      <c r="CK157" s="5">
        <f>($A157-1992)/((4-1)*$D$4)*BI157+(1992+4*$D$4-$A157)/((4-1)*$D$4)*BJ157</f>
        <v>0</v>
      </c>
      <c r="CL157" s="5">
        <f>($A157-1993)/((4-1)*$D$4)*BJ157+(1993+4*$D$4-$A157)/((4-1)*$D$4)*BK157</f>
        <v>0</v>
      </c>
      <c r="CM157" s="5">
        <f>($A157-1994)/((4-1)*$D$4)*BK157+(1994+4*$D$4-$A157)/((4-1)*$D$4)*BL157</f>
        <v>0</v>
      </c>
      <c r="CN157" s="5">
        <f>($A157-1995)/((4-1)*$D$4)*BL157+(1995+4*$D$4-$A157)/((4-1)*$D$4)*BM157</f>
        <v>0</v>
      </c>
      <c r="CO157" s="5">
        <f>($A157-1996)/((4-1)*$D$4)*BM157+(1996+4*$D$4-$A157)/((4-1)*$D$4)*BN157</f>
        <v>0</v>
      </c>
      <c r="CP157" s="5">
        <f>($A157-1997)/((4-1)*$D$4)*BN157+(1997+4*$D$4-$A157)/((4-1)*$D$4)*BO157</f>
        <v>0</v>
      </c>
      <c r="CQ157" s="5">
        <f>($A157-1998)/((4-1)*$D$4)*BO157+(1998+4*$D$4-$A157)/((4-1)*$D$4)*BP157</f>
        <v>0</v>
      </c>
      <c r="CR157" s="5">
        <f>($A157-1999)/((4-1)*$D$4)*BP157+(1999+4*$D$4-$A157)/((4-1)*$D$4)*BQ157</f>
        <v>0.16666666666666666</v>
      </c>
      <c r="CS157" s="5">
        <f>($A157-2000)/((4-1)*$D$4)*BQ157+(2000+4*$D$4-$A157)/((4-1)*$D$4)*BR157</f>
        <v>0.66666666666666663</v>
      </c>
      <c r="CT157" s="5">
        <f>($A157-2001)/((4-1)*$D$4)*BR157+(2001+4*$D$4-$A157)/((4-1)*$D$4)*BS157</f>
        <v>0.16666666666666666</v>
      </c>
      <c r="CU157" s="5">
        <f>($A157-2002)/((4-1)*$D$4)*BS157+(2002+4*$D$4-$A157)/((4-1)*$D$4)*BT157</f>
        <v>0</v>
      </c>
      <c r="CV157" s="5">
        <f>($A157-2003)/((4-1)*$D$4)*BT157+(2003+4*$D$4-$A157)/((4-1)*$D$4)*BU157</f>
        <v>0</v>
      </c>
      <c r="CW157" s="5">
        <f>($A157-2004)/((4-1)*$D$4)*BU157+(2004+4*$D$4-$A157)/((4-1)*$D$4)*BV157</f>
        <v>0</v>
      </c>
      <c r="CX157" s="5">
        <f>($A157-2005)/((4-1)*$D$4)*BV157+(2005+4*$D$4-$A157)/((4-1)*$D$4)*BW157</f>
        <v>0</v>
      </c>
      <c r="CY157" s="5">
        <f>($A157-2006)/((4-1)*$D$4)*BW157+(2006+4*$D$4-$A157)/((4-1)*$D$4)*BX157</f>
        <v>0</v>
      </c>
      <c r="CZ157" s="5">
        <f>($A157-2007)/((4-1)*$D$4)*BX157+(2007+4*$D$4-$A157)/((4-1)*$D$4)*BY157</f>
        <v>0</v>
      </c>
      <c r="DA157" s="5">
        <f>($A157-2008)/((4-1)*$D$4)*BY157+(2008+4*$D$4-$A157)/((4-1)*$D$4)*BZ157</f>
        <v>0</v>
      </c>
      <c r="DB157" s="5">
        <f>($A157-2009)/((4-1)*$D$4)*BZ157+(2009+4*$D$4-$A157)/((4-1)*$D$4)*CA157</f>
        <v>0</v>
      </c>
      <c r="DC157" s="5">
        <f>($A157-2010)/((4-1)*$D$4)*CA157+(2010+4*$D$4-$A157)/((4-1)*$D$4)*CB157</f>
        <v>0</v>
      </c>
      <c r="DD157" s="5">
        <f>($A157-2011)/((4-1)*$D$4)*CB157+(2011+4*$D$4-$A157)/((4-1)*$D$4)*CC157</f>
        <v>0</v>
      </c>
      <c r="DE157" s="5">
        <f>($A157-2012)/((4-1)*$D$4)*CC157+(2012+4*$D$4-$A157)/((4-1)*$D$4)*CD157</f>
        <v>0</v>
      </c>
      <c r="DF157" s="5">
        <f>($A157-2013)/((4-1)*$D$4)*CD157+(2013+4*$D$4-$A157)/((4-1)*$D$4)*CE157</f>
        <v>0</v>
      </c>
      <c r="DG157" s="5">
        <f>($A157-2014)/((4-1)*$D$4)*CE157+(2014+4*$D$4-$A157)/((4-1)*$D$4)*CF157</f>
        <v>0</v>
      </c>
      <c r="DH157" s="5">
        <f>($A157-2015)/((4-1)*$D$4)*CF157+(2015+4*$D$4-$A157)/((4-1)*$D$4)*CG157</f>
        <v>0</v>
      </c>
      <c r="DI157" s="5">
        <f>($A157-2016)/((4-1)*$D$4)*CG157+(2016+4*$D$4-$A157)/((4-1)*$D$4)*CH157</f>
        <v>0</v>
      </c>
      <c r="DJ157" s="5">
        <f>($A157-2017)/((4-1)*$D$4)*CH157+(2017+4*$D$4-$A157)/((4-1)*$D$4)*CI157</f>
        <v>0</v>
      </c>
      <c r="DK157" s="5">
        <f>($A157-2018)/((4-1)*$D$4)*CI157+(2018+4*$D$4-$A157)/((4-1)*$D$4)*CJ157</f>
        <v>0</v>
      </c>
    </row>
    <row r="158">
      <c r="A158" s="3" t="n">
        <v>2003</v>
      </c>
      <c r="B158" s="5">
        <f>IF(AND($A158&gt;=1992,$A158&lt;1993),1,0)</f>
        <v>0</v>
      </c>
      <c r="C158" s="5">
        <f>IF(AND($A158&gt;=1993,$A158&lt;1994),1,0)</f>
        <v>0</v>
      </c>
      <c r="D158" s="5">
        <f>IF(AND($A158&gt;=1994,$A158&lt;1995),1,0)</f>
        <v>0</v>
      </c>
      <c r="E158" s="5">
        <f>IF(AND($A158&gt;=1995,$A158&lt;1996),1,0)</f>
        <v>0</v>
      </c>
      <c r="F158" s="5">
        <f>IF(AND($A158&gt;=1996,$A158&lt;1997),1,0)</f>
        <v>0</v>
      </c>
      <c r="G158" s="5">
        <f>IF(AND($A158&gt;=1997,$A158&lt;1998),1,0)</f>
        <v>0</v>
      </c>
      <c r="H158" s="5">
        <f>IF(AND($A158&gt;=1998,$A158&lt;1999),1,0)</f>
        <v>0</v>
      </c>
      <c r="I158" s="5">
        <f>IF(AND($A158&gt;=1999,$A158&lt;2000),1,0)</f>
        <v>0</v>
      </c>
      <c r="J158" s="5">
        <f>IF(AND($A158&gt;=2000,$A158&lt;2001),1,0)</f>
        <v>0</v>
      </c>
      <c r="K158" s="5">
        <f>IF(AND($A158&gt;=2001,$A158&lt;2002),1,0)</f>
        <v>0</v>
      </c>
      <c r="L158" s="5">
        <f>IF(AND($A158&gt;=2002,$A158&lt;2003),1,0)</f>
        <v>0</v>
      </c>
      <c r="M158" s="5">
        <f>IF(AND($A158&gt;=2003,$A158&lt;2004),1,0)</f>
        <v>1</v>
      </c>
      <c r="N158" s="5">
        <f>IF(AND($A158&gt;=2004,$A158&lt;2005),1,0)</f>
        <v>0</v>
      </c>
      <c r="O158" s="5">
        <f>IF(AND($A158&gt;=2005,$A158&lt;2006),1,0)</f>
        <v>0</v>
      </c>
      <c r="P158" s="5">
        <f>IF(AND($A158&gt;=2006,$A158&lt;2007),1,0)</f>
        <v>0</v>
      </c>
      <c r="Q158" s="5">
        <f>IF(AND($A158&gt;=2007,$A158&lt;2008),1,0)</f>
        <v>0</v>
      </c>
      <c r="R158" s="5">
        <f>IF(AND($A158&gt;=2008,$A158&lt;2009),1,0)</f>
        <v>0</v>
      </c>
      <c r="S158" s="5">
        <f>IF(AND($A158&gt;=2009,$A158&lt;2010),1,0)</f>
        <v>0</v>
      </c>
      <c r="T158" s="5">
        <f>IF(AND($A158&gt;=2010,$A158&lt;2011),1,0)</f>
        <v>0</v>
      </c>
      <c r="U158" s="5">
        <f>IF(AND($A158&gt;=2011,$A158&lt;2012),1,0)</f>
        <v>0</v>
      </c>
      <c r="V158" s="5">
        <f>IF(AND($A158&gt;=2012,$A158&lt;2013),1,0)</f>
        <v>0</v>
      </c>
      <c r="W158" s="5">
        <f>IF(AND($A158&gt;=2013,$A158&lt;2014),1,0)</f>
        <v>0</v>
      </c>
      <c r="X158" s="5">
        <f>IF(AND($A158&gt;=2014,$A158&lt;2015),1,0)</f>
        <v>0</v>
      </c>
      <c r="Y158" s="5">
        <f>IF(AND($A158&gt;=2015,$A158&lt;2016),1,0)</f>
        <v>0</v>
      </c>
      <c r="Z158" s="5">
        <f>IF(AND($A158&gt;=2016,$A158&lt;2017),1,0)</f>
        <v>0</v>
      </c>
      <c r="AA158" s="5">
        <f>IF(AND($A158&gt;=2017,$A158&lt;2018),1,0)</f>
        <v>0</v>
      </c>
      <c r="AB158" s="5">
        <f>IF(AND($A158&gt;=2018,$A158&lt;2019),1,0)</f>
        <v>0</v>
      </c>
      <c r="AC158" s="5">
        <f>IF(AND($A158&gt;=2019,$A158&lt;2020),1,0)</f>
        <v>0</v>
      </c>
      <c r="AD158" s="5">
        <f>IF(AND($A158&gt;=2020,$A158&lt;2021),1,0)</f>
        <v>0</v>
      </c>
      <c r="AE158" s="5">
        <f>IF(AND($A158&gt;=2021,$A158&lt;2022),1,0)</f>
        <v>0</v>
      </c>
      <c r="AF158" s="5">
        <f>($A158-1992)/((2-1)*$D$4)*B158+(1992+2*$D$4-$A158)/((2-1)*$D$4)*C158</f>
        <v>0</v>
      </c>
      <c r="AG158" s="5">
        <f>($A158-1993)/((2-1)*$D$4)*C158+(1993+2*$D$4-$A158)/((2-1)*$D$4)*D158</f>
        <v>0</v>
      </c>
      <c r="AH158" s="5">
        <f>($A158-1994)/((2-1)*$D$4)*D158+(1994+2*$D$4-$A158)/((2-1)*$D$4)*E158</f>
        <v>0</v>
      </c>
      <c r="AI158" s="5">
        <f>($A158-1995)/((2-1)*$D$4)*E158+(1995+2*$D$4-$A158)/((2-1)*$D$4)*F158</f>
        <v>0</v>
      </c>
      <c r="AJ158" s="5">
        <f>($A158-1996)/((2-1)*$D$4)*F158+(1996+2*$D$4-$A158)/((2-1)*$D$4)*G158</f>
        <v>0</v>
      </c>
      <c r="AK158" s="5">
        <f>($A158-1997)/((2-1)*$D$4)*G158+(1997+2*$D$4-$A158)/((2-1)*$D$4)*H158</f>
        <v>0</v>
      </c>
      <c r="AL158" s="5">
        <f>($A158-1998)/((2-1)*$D$4)*H158+(1998+2*$D$4-$A158)/((2-1)*$D$4)*I158</f>
        <v>0</v>
      </c>
      <c r="AM158" s="5">
        <f>($A158-1999)/((2-1)*$D$4)*I158+(1999+2*$D$4-$A158)/((2-1)*$D$4)*J158</f>
        <v>0</v>
      </c>
      <c r="AN158" s="5">
        <f>($A158-2000)/((2-1)*$D$4)*J158+(2000+2*$D$4-$A158)/((2-1)*$D$4)*K158</f>
        <v>0</v>
      </c>
      <c r="AO158" s="5">
        <f>($A158-2001)/((2-1)*$D$4)*K158+(2001+2*$D$4-$A158)/((2-1)*$D$4)*L158</f>
        <v>0</v>
      </c>
      <c r="AP158" s="5">
        <f>($A158-2002)/((2-1)*$D$4)*L158+(2002+2*$D$4-$A158)/((2-1)*$D$4)*M158</f>
        <v>1</v>
      </c>
      <c r="AQ158" s="5">
        <f>($A158-2003)/((2-1)*$D$4)*M158+(2003+2*$D$4-$A158)/((2-1)*$D$4)*N158</f>
        <v>0</v>
      </c>
      <c r="AR158" s="5">
        <f>($A158-2004)/((2-1)*$D$4)*N158+(2004+2*$D$4-$A158)/((2-1)*$D$4)*O158</f>
        <v>0</v>
      </c>
      <c r="AS158" s="5">
        <f>($A158-2005)/((2-1)*$D$4)*O158+(2005+2*$D$4-$A158)/((2-1)*$D$4)*P158</f>
        <v>0</v>
      </c>
      <c r="AT158" s="5">
        <f>($A158-2006)/((2-1)*$D$4)*P158+(2006+2*$D$4-$A158)/((2-1)*$D$4)*Q158</f>
        <v>0</v>
      </c>
      <c r="AU158" s="5">
        <f>($A158-2007)/((2-1)*$D$4)*Q158+(2007+2*$D$4-$A158)/((2-1)*$D$4)*R158</f>
        <v>0</v>
      </c>
      <c r="AV158" s="5">
        <f>($A158-2008)/((2-1)*$D$4)*R158+(2008+2*$D$4-$A158)/((2-1)*$D$4)*S158</f>
        <v>0</v>
      </c>
      <c r="AW158" s="5">
        <f>($A158-2009)/((2-1)*$D$4)*S158+(2009+2*$D$4-$A158)/((2-1)*$D$4)*T158</f>
        <v>0</v>
      </c>
      <c r="AX158" s="5">
        <f>($A158-2010)/((2-1)*$D$4)*T158+(2010+2*$D$4-$A158)/((2-1)*$D$4)*U158</f>
        <v>0</v>
      </c>
      <c r="AY158" s="5">
        <f>($A158-2011)/((2-1)*$D$4)*U158+(2011+2*$D$4-$A158)/((2-1)*$D$4)*V158</f>
        <v>0</v>
      </c>
      <c r="AZ158" s="5">
        <f>($A158-2012)/((2-1)*$D$4)*V158+(2012+2*$D$4-$A158)/((2-1)*$D$4)*W158</f>
        <v>0</v>
      </c>
      <c r="BA158" s="5">
        <f>($A158-2013)/((2-1)*$D$4)*W158+(2013+2*$D$4-$A158)/((2-1)*$D$4)*X158</f>
        <v>0</v>
      </c>
      <c r="BB158" s="5">
        <f>($A158-2014)/((2-1)*$D$4)*X158+(2014+2*$D$4-$A158)/((2-1)*$D$4)*Y158</f>
        <v>0</v>
      </c>
      <c r="BC158" s="5">
        <f>($A158-2015)/((2-1)*$D$4)*Y158+(2015+2*$D$4-$A158)/((2-1)*$D$4)*Z158</f>
        <v>0</v>
      </c>
      <c r="BD158" s="5">
        <f>($A158-2016)/((2-1)*$D$4)*Z158+(2016+2*$D$4-$A158)/((2-1)*$D$4)*AA158</f>
        <v>0</v>
      </c>
      <c r="BE158" s="5">
        <f>($A158-2017)/((2-1)*$D$4)*AA158+(2017+2*$D$4-$A158)/((2-1)*$D$4)*AB158</f>
        <v>0</v>
      </c>
      <c r="BF158" s="5">
        <f>($A158-2018)/((2-1)*$D$4)*AB158+(2018+2*$D$4-$A158)/((2-1)*$D$4)*AC158</f>
        <v>0</v>
      </c>
      <c r="BG158" s="5">
        <f>($A158-2019)/((2-1)*$D$4)*AC158+(2019+2*$D$4-$A158)/((2-1)*$D$4)*AD158</f>
        <v>0</v>
      </c>
      <c r="BH158" s="5">
        <f>($A158-2020)/((2-1)*$D$4)*AD158+(2020+2*$D$4-$A158)/((2-1)*$D$4)*AE158</f>
        <v>0</v>
      </c>
      <c r="BI158" s="5">
        <f>($A158-1992)/((3-1)*$D$4)*AF158+(1992+3*$D$4-$A158)/((3-1)*$D$4)*AG158</f>
        <v>0</v>
      </c>
      <c r="BJ158" s="5">
        <f>($A158-1993)/((3-1)*$D$4)*AG158+(1993+3*$D$4-$A158)/((3-1)*$D$4)*AH158</f>
        <v>0</v>
      </c>
      <c r="BK158" s="5">
        <f>($A158-1994)/((3-1)*$D$4)*AH158+(1994+3*$D$4-$A158)/((3-1)*$D$4)*AI158</f>
        <v>0</v>
      </c>
      <c r="BL158" s="5">
        <f>($A158-1995)/((3-1)*$D$4)*AI158+(1995+3*$D$4-$A158)/((3-1)*$D$4)*AJ158</f>
        <v>0</v>
      </c>
      <c r="BM158" s="5">
        <f>($A158-1996)/((3-1)*$D$4)*AJ158+(1996+3*$D$4-$A158)/((3-1)*$D$4)*AK158</f>
        <v>0</v>
      </c>
      <c r="BN158" s="5">
        <f>($A158-1997)/((3-1)*$D$4)*AK158+(1997+3*$D$4-$A158)/((3-1)*$D$4)*AL158</f>
        <v>0</v>
      </c>
      <c r="BO158" s="5">
        <f>($A158-1998)/((3-1)*$D$4)*AL158+(1998+3*$D$4-$A158)/((3-1)*$D$4)*AM158</f>
        <v>0</v>
      </c>
      <c r="BP158" s="5">
        <f>($A158-1999)/((3-1)*$D$4)*AM158+(1999+3*$D$4-$A158)/((3-1)*$D$4)*AN158</f>
        <v>0</v>
      </c>
      <c r="BQ158" s="5">
        <f>($A158-2000)/((3-1)*$D$4)*AN158+(2000+3*$D$4-$A158)/((3-1)*$D$4)*AO158</f>
        <v>0</v>
      </c>
      <c r="BR158" s="5">
        <f>($A158-2001)/((3-1)*$D$4)*AO158+(2001+3*$D$4-$A158)/((3-1)*$D$4)*AP158</f>
        <v>0.5</v>
      </c>
      <c r="BS158" s="5">
        <f>($A158-2002)/((3-1)*$D$4)*AP158+(2002+3*$D$4-$A158)/((3-1)*$D$4)*AQ158</f>
        <v>0.5</v>
      </c>
      <c r="BT158" s="5">
        <f>($A158-2003)/((3-1)*$D$4)*AQ158+(2003+3*$D$4-$A158)/((3-1)*$D$4)*AR158</f>
        <v>0</v>
      </c>
      <c r="BU158" s="5">
        <f>($A158-2004)/((3-1)*$D$4)*AR158+(2004+3*$D$4-$A158)/((3-1)*$D$4)*AS158</f>
        <v>0</v>
      </c>
      <c r="BV158" s="5">
        <f>($A158-2005)/((3-1)*$D$4)*AS158+(2005+3*$D$4-$A158)/((3-1)*$D$4)*AT158</f>
        <v>0</v>
      </c>
      <c r="BW158" s="5">
        <f>($A158-2006)/((3-1)*$D$4)*AT158+(2006+3*$D$4-$A158)/((3-1)*$D$4)*AU158</f>
        <v>0</v>
      </c>
      <c r="BX158" s="5">
        <f>($A158-2007)/((3-1)*$D$4)*AU158+(2007+3*$D$4-$A158)/((3-1)*$D$4)*AV158</f>
        <v>0</v>
      </c>
      <c r="BY158" s="5">
        <f>($A158-2008)/((3-1)*$D$4)*AV158+(2008+3*$D$4-$A158)/((3-1)*$D$4)*AW158</f>
        <v>0</v>
      </c>
      <c r="BZ158" s="5">
        <f>($A158-2009)/((3-1)*$D$4)*AW158+(2009+3*$D$4-$A158)/((3-1)*$D$4)*AX158</f>
        <v>0</v>
      </c>
      <c r="CA158" s="5">
        <f>($A158-2010)/((3-1)*$D$4)*AX158+(2010+3*$D$4-$A158)/((3-1)*$D$4)*AY158</f>
        <v>0</v>
      </c>
      <c r="CB158" s="5">
        <f>($A158-2011)/((3-1)*$D$4)*AY158+(2011+3*$D$4-$A158)/((3-1)*$D$4)*AZ158</f>
        <v>0</v>
      </c>
      <c r="CC158" s="5">
        <f>($A158-2012)/((3-1)*$D$4)*AZ158+(2012+3*$D$4-$A158)/((3-1)*$D$4)*BA158</f>
        <v>0</v>
      </c>
      <c r="CD158" s="5">
        <f>($A158-2013)/((3-1)*$D$4)*BA158+(2013+3*$D$4-$A158)/((3-1)*$D$4)*BB158</f>
        <v>0</v>
      </c>
      <c r="CE158" s="5">
        <f>($A158-2014)/((3-1)*$D$4)*BB158+(2014+3*$D$4-$A158)/((3-1)*$D$4)*BC158</f>
        <v>0</v>
      </c>
      <c r="CF158" s="5">
        <f>($A158-2015)/((3-1)*$D$4)*BC158+(2015+3*$D$4-$A158)/((3-1)*$D$4)*BD158</f>
        <v>0</v>
      </c>
      <c r="CG158" s="5">
        <f>($A158-2016)/((3-1)*$D$4)*BD158+(2016+3*$D$4-$A158)/((3-1)*$D$4)*BE158</f>
        <v>0</v>
      </c>
      <c r="CH158" s="5">
        <f>($A158-2017)/((3-1)*$D$4)*BE158+(2017+3*$D$4-$A158)/((3-1)*$D$4)*BF158</f>
        <v>0</v>
      </c>
      <c r="CI158" s="5">
        <f>($A158-2018)/((3-1)*$D$4)*BF158+(2018+3*$D$4-$A158)/((3-1)*$D$4)*BG158</f>
        <v>0</v>
      </c>
      <c r="CJ158" s="5">
        <f>($A158-2019)/((3-1)*$D$4)*BG158+(2019+3*$D$4-$A158)/((3-1)*$D$4)*BH158</f>
        <v>0</v>
      </c>
      <c r="CK158" s="5">
        <f>($A158-1992)/((4-1)*$D$4)*BI158+(1992+4*$D$4-$A158)/((4-1)*$D$4)*BJ158</f>
        <v>0</v>
      </c>
      <c r="CL158" s="5">
        <f>($A158-1993)/((4-1)*$D$4)*BJ158+(1993+4*$D$4-$A158)/((4-1)*$D$4)*BK158</f>
        <v>0</v>
      </c>
      <c r="CM158" s="5">
        <f>($A158-1994)/((4-1)*$D$4)*BK158+(1994+4*$D$4-$A158)/((4-1)*$D$4)*BL158</f>
        <v>0</v>
      </c>
      <c r="CN158" s="5">
        <f>($A158-1995)/((4-1)*$D$4)*BL158+(1995+4*$D$4-$A158)/((4-1)*$D$4)*BM158</f>
        <v>0</v>
      </c>
      <c r="CO158" s="5">
        <f>($A158-1996)/((4-1)*$D$4)*BM158+(1996+4*$D$4-$A158)/((4-1)*$D$4)*BN158</f>
        <v>0</v>
      </c>
      <c r="CP158" s="5">
        <f>($A158-1997)/((4-1)*$D$4)*BN158+(1997+4*$D$4-$A158)/((4-1)*$D$4)*BO158</f>
        <v>0</v>
      </c>
      <c r="CQ158" s="5">
        <f>($A158-1998)/((4-1)*$D$4)*BO158+(1998+4*$D$4-$A158)/((4-1)*$D$4)*BP158</f>
        <v>0</v>
      </c>
      <c r="CR158" s="5">
        <f>($A158-1999)/((4-1)*$D$4)*BP158+(1999+4*$D$4-$A158)/((4-1)*$D$4)*BQ158</f>
        <v>0</v>
      </c>
      <c r="CS158" s="5">
        <f>($A158-2000)/((4-1)*$D$4)*BQ158+(2000+4*$D$4-$A158)/((4-1)*$D$4)*BR158</f>
        <v>0.16666666666666666</v>
      </c>
      <c r="CT158" s="5">
        <f>($A158-2001)/((4-1)*$D$4)*BR158+(2001+4*$D$4-$A158)/((4-1)*$D$4)*BS158</f>
        <v>0.66666666666666663</v>
      </c>
      <c r="CU158" s="5">
        <f>($A158-2002)/((4-1)*$D$4)*BS158+(2002+4*$D$4-$A158)/((4-1)*$D$4)*BT158</f>
        <v>0.16666666666666666</v>
      </c>
      <c r="CV158" s="5">
        <f>($A158-2003)/((4-1)*$D$4)*BT158+(2003+4*$D$4-$A158)/((4-1)*$D$4)*BU158</f>
        <v>0</v>
      </c>
      <c r="CW158" s="5">
        <f>($A158-2004)/((4-1)*$D$4)*BU158+(2004+4*$D$4-$A158)/((4-1)*$D$4)*BV158</f>
        <v>0</v>
      </c>
      <c r="CX158" s="5">
        <f>($A158-2005)/((4-1)*$D$4)*BV158+(2005+4*$D$4-$A158)/((4-1)*$D$4)*BW158</f>
        <v>0</v>
      </c>
      <c r="CY158" s="5">
        <f>($A158-2006)/((4-1)*$D$4)*BW158+(2006+4*$D$4-$A158)/((4-1)*$D$4)*BX158</f>
        <v>0</v>
      </c>
      <c r="CZ158" s="5">
        <f>($A158-2007)/((4-1)*$D$4)*BX158+(2007+4*$D$4-$A158)/((4-1)*$D$4)*BY158</f>
        <v>0</v>
      </c>
      <c r="DA158" s="5">
        <f>($A158-2008)/((4-1)*$D$4)*BY158+(2008+4*$D$4-$A158)/((4-1)*$D$4)*BZ158</f>
        <v>0</v>
      </c>
      <c r="DB158" s="5">
        <f>($A158-2009)/((4-1)*$D$4)*BZ158+(2009+4*$D$4-$A158)/((4-1)*$D$4)*CA158</f>
        <v>0</v>
      </c>
      <c r="DC158" s="5">
        <f>($A158-2010)/((4-1)*$D$4)*CA158+(2010+4*$D$4-$A158)/((4-1)*$D$4)*CB158</f>
        <v>0</v>
      </c>
      <c r="DD158" s="5">
        <f>($A158-2011)/((4-1)*$D$4)*CB158+(2011+4*$D$4-$A158)/((4-1)*$D$4)*CC158</f>
        <v>0</v>
      </c>
      <c r="DE158" s="5">
        <f>($A158-2012)/((4-1)*$D$4)*CC158+(2012+4*$D$4-$A158)/((4-1)*$D$4)*CD158</f>
        <v>0</v>
      </c>
      <c r="DF158" s="5">
        <f>($A158-2013)/((4-1)*$D$4)*CD158+(2013+4*$D$4-$A158)/((4-1)*$D$4)*CE158</f>
        <v>0</v>
      </c>
      <c r="DG158" s="5">
        <f>($A158-2014)/((4-1)*$D$4)*CE158+(2014+4*$D$4-$A158)/((4-1)*$D$4)*CF158</f>
        <v>0</v>
      </c>
      <c r="DH158" s="5">
        <f>($A158-2015)/((4-1)*$D$4)*CF158+(2015+4*$D$4-$A158)/((4-1)*$D$4)*CG158</f>
        <v>0</v>
      </c>
      <c r="DI158" s="5">
        <f>($A158-2016)/((4-1)*$D$4)*CG158+(2016+4*$D$4-$A158)/((4-1)*$D$4)*CH158</f>
        <v>0</v>
      </c>
      <c r="DJ158" s="5">
        <f>($A158-2017)/((4-1)*$D$4)*CH158+(2017+4*$D$4-$A158)/((4-1)*$D$4)*CI158</f>
        <v>0</v>
      </c>
      <c r="DK158" s="5">
        <f>($A158-2018)/((4-1)*$D$4)*CI158+(2018+4*$D$4-$A158)/((4-1)*$D$4)*CJ158</f>
        <v>0</v>
      </c>
    </row>
    <row r="159">
      <c r="A159" s="3" t="n">
        <v>2004</v>
      </c>
      <c r="B159" s="5">
        <f>IF(AND($A159&gt;=1992,$A159&lt;1993),1,0)</f>
        <v>0</v>
      </c>
      <c r="C159" s="5">
        <f>IF(AND($A159&gt;=1993,$A159&lt;1994),1,0)</f>
        <v>0</v>
      </c>
      <c r="D159" s="5">
        <f>IF(AND($A159&gt;=1994,$A159&lt;1995),1,0)</f>
        <v>0</v>
      </c>
      <c r="E159" s="5">
        <f>IF(AND($A159&gt;=1995,$A159&lt;1996),1,0)</f>
        <v>0</v>
      </c>
      <c r="F159" s="5">
        <f>IF(AND($A159&gt;=1996,$A159&lt;1997),1,0)</f>
        <v>0</v>
      </c>
      <c r="G159" s="5">
        <f>IF(AND($A159&gt;=1997,$A159&lt;1998),1,0)</f>
        <v>0</v>
      </c>
      <c r="H159" s="5">
        <f>IF(AND($A159&gt;=1998,$A159&lt;1999),1,0)</f>
        <v>0</v>
      </c>
      <c r="I159" s="5">
        <f>IF(AND($A159&gt;=1999,$A159&lt;2000),1,0)</f>
        <v>0</v>
      </c>
      <c r="J159" s="5">
        <f>IF(AND($A159&gt;=2000,$A159&lt;2001),1,0)</f>
        <v>0</v>
      </c>
      <c r="K159" s="5">
        <f>IF(AND($A159&gt;=2001,$A159&lt;2002),1,0)</f>
        <v>0</v>
      </c>
      <c r="L159" s="5">
        <f>IF(AND($A159&gt;=2002,$A159&lt;2003),1,0)</f>
        <v>0</v>
      </c>
      <c r="M159" s="5">
        <f>IF(AND($A159&gt;=2003,$A159&lt;2004),1,0)</f>
        <v>0</v>
      </c>
      <c r="N159" s="5">
        <f>IF(AND($A159&gt;=2004,$A159&lt;2005),1,0)</f>
        <v>1</v>
      </c>
      <c r="O159" s="5">
        <f>IF(AND($A159&gt;=2005,$A159&lt;2006),1,0)</f>
        <v>0</v>
      </c>
      <c r="P159" s="5">
        <f>IF(AND($A159&gt;=2006,$A159&lt;2007),1,0)</f>
        <v>0</v>
      </c>
      <c r="Q159" s="5">
        <f>IF(AND($A159&gt;=2007,$A159&lt;2008),1,0)</f>
        <v>0</v>
      </c>
      <c r="R159" s="5">
        <f>IF(AND($A159&gt;=2008,$A159&lt;2009),1,0)</f>
        <v>0</v>
      </c>
      <c r="S159" s="5">
        <f>IF(AND($A159&gt;=2009,$A159&lt;2010),1,0)</f>
        <v>0</v>
      </c>
      <c r="T159" s="5">
        <f>IF(AND($A159&gt;=2010,$A159&lt;2011),1,0)</f>
        <v>0</v>
      </c>
      <c r="U159" s="5">
        <f>IF(AND($A159&gt;=2011,$A159&lt;2012),1,0)</f>
        <v>0</v>
      </c>
      <c r="V159" s="5">
        <f>IF(AND($A159&gt;=2012,$A159&lt;2013),1,0)</f>
        <v>0</v>
      </c>
      <c r="W159" s="5">
        <f>IF(AND($A159&gt;=2013,$A159&lt;2014),1,0)</f>
        <v>0</v>
      </c>
      <c r="X159" s="5">
        <f>IF(AND($A159&gt;=2014,$A159&lt;2015),1,0)</f>
        <v>0</v>
      </c>
      <c r="Y159" s="5">
        <f>IF(AND($A159&gt;=2015,$A159&lt;2016),1,0)</f>
        <v>0</v>
      </c>
      <c r="Z159" s="5">
        <f>IF(AND($A159&gt;=2016,$A159&lt;2017),1,0)</f>
        <v>0</v>
      </c>
      <c r="AA159" s="5">
        <f>IF(AND($A159&gt;=2017,$A159&lt;2018),1,0)</f>
        <v>0</v>
      </c>
      <c r="AB159" s="5">
        <f>IF(AND($A159&gt;=2018,$A159&lt;2019),1,0)</f>
        <v>0</v>
      </c>
      <c r="AC159" s="5">
        <f>IF(AND($A159&gt;=2019,$A159&lt;2020),1,0)</f>
        <v>0</v>
      </c>
      <c r="AD159" s="5">
        <f>IF(AND($A159&gt;=2020,$A159&lt;2021),1,0)</f>
        <v>0</v>
      </c>
      <c r="AE159" s="5">
        <f>IF(AND($A159&gt;=2021,$A159&lt;2022),1,0)</f>
        <v>0</v>
      </c>
      <c r="AF159" s="5">
        <f>($A159-1992)/((2-1)*$D$4)*B159+(1992+2*$D$4-$A159)/((2-1)*$D$4)*C159</f>
        <v>0</v>
      </c>
      <c r="AG159" s="5">
        <f>($A159-1993)/((2-1)*$D$4)*C159+(1993+2*$D$4-$A159)/((2-1)*$D$4)*D159</f>
        <v>0</v>
      </c>
      <c r="AH159" s="5">
        <f>($A159-1994)/((2-1)*$D$4)*D159+(1994+2*$D$4-$A159)/((2-1)*$D$4)*E159</f>
        <v>0</v>
      </c>
      <c r="AI159" s="5">
        <f>($A159-1995)/((2-1)*$D$4)*E159+(1995+2*$D$4-$A159)/((2-1)*$D$4)*F159</f>
        <v>0</v>
      </c>
      <c r="AJ159" s="5">
        <f>($A159-1996)/((2-1)*$D$4)*F159+(1996+2*$D$4-$A159)/((2-1)*$D$4)*G159</f>
        <v>0</v>
      </c>
      <c r="AK159" s="5">
        <f>($A159-1997)/((2-1)*$D$4)*G159+(1997+2*$D$4-$A159)/((2-1)*$D$4)*H159</f>
        <v>0</v>
      </c>
      <c r="AL159" s="5">
        <f>($A159-1998)/((2-1)*$D$4)*H159+(1998+2*$D$4-$A159)/((2-1)*$D$4)*I159</f>
        <v>0</v>
      </c>
      <c r="AM159" s="5">
        <f>($A159-1999)/((2-1)*$D$4)*I159+(1999+2*$D$4-$A159)/((2-1)*$D$4)*J159</f>
        <v>0</v>
      </c>
      <c r="AN159" s="5">
        <f>($A159-2000)/((2-1)*$D$4)*J159+(2000+2*$D$4-$A159)/((2-1)*$D$4)*K159</f>
        <v>0</v>
      </c>
      <c r="AO159" s="5">
        <f>($A159-2001)/((2-1)*$D$4)*K159+(2001+2*$D$4-$A159)/((2-1)*$D$4)*L159</f>
        <v>0</v>
      </c>
      <c r="AP159" s="5">
        <f>($A159-2002)/((2-1)*$D$4)*L159+(2002+2*$D$4-$A159)/((2-1)*$D$4)*M159</f>
        <v>0</v>
      </c>
      <c r="AQ159" s="5">
        <f>($A159-2003)/((2-1)*$D$4)*M159+(2003+2*$D$4-$A159)/((2-1)*$D$4)*N159</f>
        <v>1</v>
      </c>
      <c r="AR159" s="5">
        <f>($A159-2004)/((2-1)*$D$4)*N159+(2004+2*$D$4-$A159)/((2-1)*$D$4)*O159</f>
        <v>0</v>
      </c>
      <c r="AS159" s="5">
        <f>($A159-2005)/((2-1)*$D$4)*O159+(2005+2*$D$4-$A159)/((2-1)*$D$4)*P159</f>
        <v>0</v>
      </c>
      <c r="AT159" s="5">
        <f>($A159-2006)/((2-1)*$D$4)*P159+(2006+2*$D$4-$A159)/((2-1)*$D$4)*Q159</f>
        <v>0</v>
      </c>
      <c r="AU159" s="5">
        <f>($A159-2007)/((2-1)*$D$4)*Q159+(2007+2*$D$4-$A159)/((2-1)*$D$4)*R159</f>
        <v>0</v>
      </c>
      <c r="AV159" s="5">
        <f>($A159-2008)/((2-1)*$D$4)*R159+(2008+2*$D$4-$A159)/((2-1)*$D$4)*S159</f>
        <v>0</v>
      </c>
      <c r="AW159" s="5">
        <f>($A159-2009)/((2-1)*$D$4)*S159+(2009+2*$D$4-$A159)/((2-1)*$D$4)*T159</f>
        <v>0</v>
      </c>
      <c r="AX159" s="5">
        <f>($A159-2010)/((2-1)*$D$4)*T159+(2010+2*$D$4-$A159)/((2-1)*$D$4)*U159</f>
        <v>0</v>
      </c>
      <c r="AY159" s="5">
        <f>($A159-2011)/((2-1)*$D$4)*U159+(2011+2*$D$4-$A159)/((2-1)*$D$4)*V159</f>
        <v>0</v>
      </c>
      <c r="AZ159" s="5">
        <f>($A159-2012)/((2-1)*$D$4)*V159+(2012+2*$D$4-$A159)/((2-1)*$D$4)*W159</f>
        <v>0</v>
      </c>
      <c r="BA159" s="5">
        <f>($A159-2013)/((2-1)*$D$4)*W159+(2013+2*$D$4-$A159)/((2-1)*$D$4)*X159</f>
        <v>0</v>
      </c>
      <c r="BB159" s="5">
        <f>($A159-2014)/((2-1)*$D$4)*X159+(2014+2*$D$4-$A159)/((2-1)*$D$4)*Y159</f>
        <v>0</v>
      </c>
      <c r="BC159" s="5">
        <f>($A159-2015)/((2-1)*$D$4)*Y159+(2015+2*$D$4-$A159)/((2-1)*$D$4)*Z159</f>
        <v>0</v>
      </c>
      <c r="BD159" s="5">
        <f>($A159-2016)/((2-1)*$D$4)*Z159+(2016+2*$D$4-$A159)/((2-1)*$D$4)*AA159</f>
        <v>0</v>
      </c>
      <c r="BE159" s="5">
        <f>($A159-2017)/((2-1)*$D$4)*AA159+(2017+2*$D$4-$A159)/((2-1)*$D$4)*AB159</f>
        <v>0</v>
      </c>
      <c r="BF159" s="5">
        <f>($A159-2018)/((2-1)*$D$4)*AB159+(2018+2*$D$4-$A159)/((2-1)*$D$4)*AC159</f>
        <v>0</v>
      </c>
      <c r="BG159" s="5">
        <f>($A159-2019)/((2-1)*$D$4)*AC159+(2019+2*$D$4-$A159)/((2-1)*$D$4)*AD159</f>
        <v>0</v>
      </c>
      <c r="BH159" s="5">
        <f>($A159-2020)/((2-1)*$D$4)*AD159+(2020+2*$D$4-$A159)/((2-1)*$D$4)*AE159</f>
        <v>0</v>
      </c>
      <c r="BI159" s="5">
        <f>($A159-1992)/((3-1)*$D$4)*AF159+(1992+3*$D$4-$A159)/((3-1)*$D$4)*AG159</f>
        <v>0</v>
      </c>
      <c r="BJ159" s="5">
        <f>($A159-1993)/((3-1)*$D$4)*AG159+(1993+3*$D$4-$A159)/((3-1)*$D$4)*AH159</f>
        <v>0</v>
      </c>
      <c r="BK159" s="5">
        <f>($A159-1994)/((3-1)*$D$4)*AH159+(1994+3*$D$4-$A159)/((3-1)*$D$4)*AI159</f>
        <v>0</v>
      </c>
      <c r="BL159" s="5">
        <f>($A159-1995)/((3-1)*$D$4)*AI159+(1995+3*$D$4-$A159)/((3-1)*$D$4)*AJ159</f>
        <v>0</v>
      </c>
      <c r="BM159" s="5">
        <f>($A159-1996)/((3-1)*$D$4)*AJ159+(1996+3*$D$4-$A159)/((3-1)*$D$4)*AK159</f>
        <v>0</v>
      </c>
      <c r="BN159" s="5">
        <f>($A159-1997)/((3-1)*$D$4)*AK159+(1997+3*$D$4-$A159)/((3-1)*$D$4)*AL159</f>
        <v>0</v>
      </c>
      <c r="BO159" s="5">
        <f>($A159-1998)/((3-1)*$D$4)*AL159+(1998+3*$D$4-$A159)/((3-1)*$D$4)*AM159</f>
        <v>0</v>
      </c>
      <c r="BP159" s="5">
        <f>($A159-1999)/((3-1)*$D$4)*AM159+(1999+3*$D$4-$A159)/((3-1)*$D$4)*AN159</f>
        <v>0</v>
      </c>
      <c r="BQ159" s="5">
        <f>($A159-2000)/((3-1)*$D$4)*AN159+(2000+3*$D$4-$A159)/((3-1)*$D$4)*AO159</f>
        <v>0</v>
      </c>
      <c r="BR159" s="5">
        <f>($A159-2001)/((3-1)*$D$4)*AO159+(2001+3*$D$4-$A159)/((3-1)*$D$4)*AP159</f>
        <v>0</v>
      </c>
      <c r="BS159" s="5">
        <f>($A159-2002)/((3-1)*$D$4)*AP159+(2002+3*$D$4-$A159)/((3-1)*$D$4)*AQ159</f>
        <v>0.5</v>
      </c>
      <c r="BT159" s="5">
        <f>($A159-2003)/((3-1)*$D$4)*AQ159+(2003+3*$D$4-$A159)/((3-1)*$D$4)*AR159</f>
        <v>0.5</v>
      </c>
      <c r="BU159" s="5">
        <f>($A159-2004)/((3-1)*$D$4)*AR159+(2004+3*$D$4-$A159)/((3-1)*$D$4)*AS159</f>
        <v>0</v>
      </c>
      <c r="BV159" s="5">
        <f>($A159-2005)/((3-1)*$D$4)*AS159+(2005+3*$D$4-$A159)/((3-1)*$D$4)*AT159</f>
        <v>0</v>
      </c>
      <c r="BW159" s="5">
        <f>($A159-2006)/((3-1)*$D$4)*AT159+(2006+3*$D$4-$A159)/((3-1)*$D$4)*AU159</f>
        <v>0</v>
      </c>
      <c r="BX159" s="5">
        <f>($A159-2007)/((3-1)*$D$4)*AU159+(2007+3*$D$4-$A159)/((3-1)*$D$4)*AV159</f>
        <v>0</v>
      </c>
      <c r="BY159" s="5">
        <f>($A159-2008)/((3-1)*$D$4)*AV159+(2008+3*$D$4-$A159)/((3-1)*$D$4)*AW159</f>
        <v>0</v>
      </c>
      <c r="BZ159" s="5">
        <f>($A159-2009)/((3-1)*$D$4)*AW159+(2009+3*$D$4-$A159)/((3-1)*$D$4)*AX159</f>
        <v>0</v>
      </c>
      <c r="CA159" s="5">
        <f>($A159-2010)/((3-1)*$D$4)*AX159+(2010+3*$D$4-$A159)/((3-1)*$D$4)*AY159</f>
        <v>0</v>
      </c>
      <c r="CB159" s="5">
        <f>($A159-2011)/((3-1)*$D$4)*AY159+(2011+3*$D$4-$A159)/((3-1)*$D$4)*AZ159</f>
        <v>0</v>
      </c>
      <c r="CC159" s="5">
        <f>($A159-2012)/((3-1)*$D$4)*AZ159+(2012+3*$D$4-$A159)/((3-1)*$D$4)*BA159</f>
        <v>0</v>
      </c>
      <c r="CD159" s="5">
        <f>($A159-2013)/((3-1)*$D$4)*BA159+(2013+3*$D$4-$A159)/((3-1)*$D$4)*BB159</f>
        <v>0</v>
      </c>
      <c r="CE159" s="5">
        <f>($A159-2014)/((3-1)*$D$4)*BB159+(2014+3*$D$4-$A159)/((3-1)*$D$4)*BC159</f>
        <v>0</v>
      </c>
      <c r="CF159" s="5">
        <f>($A159-2015)/((3-1)*$D$4)*BC159+(2015+3*$D$4-$A159)/((3-1)*$D$4)*BD159</f>
        <v>0</v>
      </c>
      <c r="CG159" s="5">
        <f>($A159-2016)/((3-1)*$D$4)*BD159+(2016+3*$D$4-$A159)/((3-1)*$D$4)*BE159</f>
        <v>0</v>
      </c>
      <c r="CH159" s="5">
        <f>($A159-2017)/((3-1)*$D$4)*BE159+(2017+3*$D$4-$A159)/((3-1)*$D$4)*BF159</f>
        <v>0</v>
      </c>
      <c r="CI159" s="5">
        <f>($A159-2018)/((3-1)*$D$4)*BF159+(2018+3*$D$4-$A159)/((3-1)*$D$4)*BG159</f>
        <v>0</v>
      </c>
      <c r="CJ159" s="5">
        <f>($A159-2019)/((3-1)*$D$4)*BG159+(2019+3*$D$4-$A159)/((3-1)*$D$4)*BH159</f>
        <v>0</v>
      </c>
      <c r="CK159" s="5">
        <f>($A159-1992)/((4-1)*$D$4)*BI159+(1992+4*$D$4-$A159)/((4-1)*$D$4)*BJ159</f>
        <v>0</v>
      </c>
      <c r="CL159" s="5">
        <f>($A159-1993)/((4-1)*$D$4)*BJ159+(1993+4*$D$4-$A159)/((4-1)*$D$4)*BK159</f>
        <v>0</v>
      </c>
      <c r="CM159" s="5">
        <f>($A159-1994)/((4-1)*$D$4)*BK159+(1994+4*$D$4-$A159)/((4-1)*$D$4)*BL159</f>
        <v>0</v>
      </c>
      <c r="CN159" s="5">
        <f>($A159-1995)/((4-1)*$D$4)*BL159+(1995+4*$D$4-$A159)/((4-1)*$D$4)*BM159</f>
        <v>0</v>
      </c>
      <c r="CO159" s="5">
        <f>($A159-1996)/((4-1)*$D$4)*BM159+(1996+4*$D$4-$A159)/((4-1)*$D$4)*BN159</f>
        <v>0</v>
      </c>
      <c r="CP159" s="5">
        <f>($A159-1997)/((4-1)*$D$4)*BN159+(1997+4*$D$4-$A159)/((4-1)*$D$4)*BO159</f>
        <v>0</v>
      </c>
      <c r="CQ159" s="5">
        <f>($A159-1998)/((4-1)*$D$4)*BO159+(1998+4*$D$4-$A159)/((4-1)*$D$4)*BP159</f>
        <v>0</v>
      </c>
      <c r="CR159" s="5">
        <f>($A159-1999)/((4-1)*$D$4)*BP159+(1999+4*$D$4-$A159)/((4-1)*$D$4)*BQ159</f>
        <v>0</v>
      </c>
      <c r="CS159" s="5">
        <f>($A159-2000)/((4-1)*$D$4)*BQ159+(2000+4*$D$4-$A159)/((4-1)*$D$4)*BR159</f>
        <v>0</v>
      </c>
      <c r="CT159" s="5">
        <f>($A159-2001)/((4-1)*$D$4)*BR159+(2001+4*$D$4-$A159)/((4-1)*$D$4)*BS159</f>
        <v>0.16666666666666666</v>
      </c>
      <c r="CU159" s="5">
        <f>($A159-2002)/((4-1)*$D$4)*BS159+(2002+4*$D$4-$A159)/((4-1)*$D$4)*BT159</f>
        <v>0.66666666666666663</v>
      </c>
      <c r="CV159" s="5">
        <f>($A159-2003)/((4-1)*$D$4)*BT159+(2003+4*$D$4-$A159)/((4-1)*$D$4)*BU159</f>
        <v>0.16666666666666666</v>
      </c>
      <c r="CW159" s="5">
        <f>($A159-2004)/((4-1)*$D$4)*BU159+(2004+4*$D$4-$A159)/((4-1)*$D$4)*BV159</f>
        <v>0</v>
      </c>
      <c r="CX159" s="5">
        <f>($A159-2005)/((4-1)*$D$4)*BV159+(2005+4*$D$4-$A159)/((4-1)*$D$4)*BW159</f>
        <v>0</v>
      </c>
      <c r="CY159" s="5">
        <f>($A159-2006)/((4-1)*$D$4)*BW159+(2006+4*$D$4-$A159)/((4-1)*$D$4)*BX159</f>
        <v>0</v>
      </c>
      <c r="CZ159" s="5">
        <f>($A159-2007)/((4-1)*$D$4)*BX159+(2007+4*$D$4-$A159)/((4-1)*$D$4)*BY159</f>
        <v>0</v>
      </c>
      <c r="DA159" s="5">
        <f>($A159-2008)/((4-1)*$D$4)*BY159+(2008+4*$D$4-$A159)/((4-1)*$D$4)*BZ159</f>
        <v>0</v>
      </c>
      <c r="DB159" s="5">
        <f>($A159-2009)/((4-1)*$D$4)*BZ159+(2009+4*$D$4-$A159)/((4-1)*$D$4)*CA159</f>
        <v>0</v>
      </c>
      <c r="DC159" s="5">
        <f>($A159-2010)/((4-1)*$D$4)*CA159+(2010+4*$D$4-$A159)/((4-1)*$D$4)*CB159</f>
        <v>0</v>
      </c>
      <c r="DD159" s="5">
        <f>($A159-2011)/((4-1)*$D$4)*CB159+(2011+4*$D$4-$A159)/((4-1)*$D$4)*CC159</f>
        <v>0</v>
      </c>
      <c r="DE159" s="5">
        <f>($A159-2012)/((4-1)*$D$4)*CC159+(2012+4*$D$4-$A159)/((4-1)*$D$4)*CD159</f>
        <v>0</v>
      </c>
      <c r="DF159" s="5">
        <f>($A159-2013)/((4-1)*$D$4)*CD159+(2013+4*$D$4-$A159)/((4-1)*$D$4)*CE159</f>
        <v>0</v>
      </c>
      <c r="DG159" s="5">
        <f>($A159-2014)/((4-1)*$D$4)*CE159+(2014+4*$D$4-$A159)/((4-1)*$D$4)*CF159</f>
        <v>0</v>
      </c>
      <c r="DH159" s="5">
        <f>($A159-2015)/((4-1)*$D$4)*CF159+(2015+4*$D$4-$A159)/((4-1)*$D$4)*CG159</f>
        <v>0</v>
      </c>
      <c r="DI159" s="5">
        <f>($A159-2016)/((4-1)*$D$4)*CG159+(2016+4*$D$4-$A159)/((4-1)*$D$4)*CH159</f>
        <v>0</v>
      </c>
      <c r="DJ159" s="5">
        <f>($A159-2017)/((4-1)*$D$4)*CH159+(2017+4*$D$4-$A159)/((4-1)*$D$4)*CI159</f>
        <v>0</v>
      </c>
      <c r="DK159" s="5">
        <f>($A159-2018)/((4-1)*$D$4)*CI159+(2018+4*$D$4-$A159)/((4-1)*$D$4)*CJ159</f>
        <v>0</v>
      </c>
    </row>
    <row r="160">
      <c r="A160" s="3" t="n">
        <v>2005</v>
      </c>
      <c r="B160" s="5">
        <f>IF(AND($A160&gt;=1992,$A160&lt;1993),1,0)</f>
        <v>0</v>
      </c>
      <c r="C160" s="5">
        <f>IF(AND($A160&gt;=1993,$A160&lt;1994),1,0)</f>
        <v>0</v>
      </c>
      <c r="D160" s="5">
        <f>IF(AND($A160&gt;=1994,$A160&lt;1995),1,0)</f>
        <v>0</v>
      </c>
      <c r="E160" s="5">
        <f>IF(AND($A160&gt;=1995,$A160&lt;1996),1,0)</f>
        <v>0</v>
      </c>
      <c r="F160" s="5">
        <f>IF(AND($A160&gt;=1996,$A160&lt;1997),1,0)</f>
        <v>0</v>
      </c>
      <c r="G160" s="5">
        <f>IF(AND($A160&gt;=1997,$A160&lt;1998),1,0)</f>
        <v>0</v>
      </c>
      <c r="H160" s="5">
        <f>IF(AND($A160&gt;=1998,$A160&lt;1999),1,0)</f>
        <v>0</v>
      </c>
      <c r="I160" s="5">
        <f>IF(AND($A160&gt;=1999,$A160&lt;2000),1,0)</f>
        <v>0</v>
      </c>
      <c r="J160" s="5">
        <f>IF(AND($A160&gt;=2000,$A160&lt;2001),1,0)</f>
        <v>0</v>
      </c>
      <c r="K160" s="5">
        <f>IF(AND($A160&gt;=2001,$A160&lt;2002),1,0)</f>
        <v>0</v>
      </c>
      <c r="L160" s="5">
        <f>IF(AND($A160&gt;=2002,$A160&lt;2003),1,0)</f>
        <v>0</v>
      </c>
      <c r="M160" s="5">
        <f>IF(AND($A160&gt;=2003,$A160&lt;2004),1,0)</f>
        <v>0</v>
      </c>
      <c r="N160" s="5">
        <f>IF(AND($A160&gt;=2004,$A160&lt;2005),1,0)</f>
        <v>0</v>
      </c>
      <c r="O160" s="5">
        <f>IF(AND($A160&gt;=2005,$A160&lt;2006),1,0)</f>
        <v>1</v>
      </c>
      <c r="P160" s="5">
        <f>IF(AND($A160&gt;=2006,$A160&lt;2007),1,0)</f>
        <v>0</v>
      </c>
      <c r="Q160" s="5">
        <f>IF(AND($A160&gt;=2007,$A160&lt;2008),1,0)</f>
        <v>0</v>
      </c>
      <c r="R160" s="5">
        <f>IF(AND($A160&gt;=2008,$A160&lt;2009),1,0)</f>
        <v>0</v>
      </c>
      <c r="S160" s="5">
        <f>IF(AND($A160&gt;=2009,$A160&lt;2010),1,0)</f>
        <v>0</v>
      </c>
      <c r="T160" s="5">
        <f>IF(AND($A160&gt;=2010,$A160&lt;2011),1,0)</f>
        <v>0</v>
      </c>
      <c r="U160" s="5">
        <f>IF(AND($A160&gt;=2011,$A160&lt;2012),1,0)</f>
        <v>0</v>
      </c>
      <c r="V160" s="5">
        <f>IF(AND($A160&gt;=2012,$A160&lt;2013),1,0)</f>
        <v>0</v>
      </c>
      <c r="W160" s="5">
        <f>IF(AND($A160&gt;=2013,$A160&lt;2014),1,0)</f>
        <v>0</v>
      </c>
      <c r="X160" s="5">
        <f>IF(AND($A160&gt;=2014,$A160&lt;2015),1,0)</f>
        <v>0</v>
      </c>
      <c r="Y160" s="5">
        <f>IF(AND($A160&gt;=2015,$A160&lt;2016),1,0)</f>
        <v>0</v>
      </c>
      <c r="Z160" s="5">
        <f>IF(AND($A160&gt;=2016,$A160&lt;2017),1,0)</f>
        <v>0</v>
      </c>
      <c r="AA160" s="5">
        <f>IF(AND($A160&gt;=2017,$A160&lt;2018),1,0)</f>
        <v>0</v>
      </c>
      <c r="AB160" s="5">
        <f>IF(AND($A160&gt;=2018,$A160&lt;2019),1,0)</f>
        <v>0</v>
      </c>
      <c r="AC160" s="5">
        <f>IF(AND($A160&gt;=2019,$A160&lt;2020),1,0)</f>
        <v>0</v>
      </c>
      <c r="AD160" s="5">
        <f>IF(AND($A160&gt;=2020,$A160&lt;2021),1,0)</f>
        <v>0</v>
      </c>
      <c r="AE160" s="5">
        <f>IF(AND($A160&gt;=2021,$A160&lt;2022),1,0)</f>
        <v>0</v>
      </c>
      <c r="AF160" s="5">
        <f>($A160-1992)/((2-1)*$D$4)*B160+(1992+2*$D$4-$A160)/((2-1)*$D$4)*C160</f>
        <v>0</v>
      </c>
      <c r="AG160" s="5">
        <f>($A160-1993)/((2-1)*$D$4)*C160+(1993+2*$D$4-$A160)/((2-1)*$D$4)*D160</f>
        <v>0</v>
      </c>
      <c r="AH160" s="5">
        <f>($A160-1994)/((2-1)*$D$4)*D160+(1994+2*$D$4-$A160)/((2-1)*$D$4)*E160</f>
        <v>0</v>
      </c>
      <c r="AI160" s="5">
        <f>($A160-1995)/((2-1)*$D$4)*E160+(1995+2*$D$4-$A160)/((2-1)*$D$4)*F160</f>
        <v>0</v>
      </c>
      <c r="AJ160" s="5">
        <f>($A160-1996)/((2-1)*$D$4)*F160+(1996+2*$D$4-$A160)/((2-1)*$D$4)*G160</f>
        <v>0</v>
      </c>
      <c r="AK160" s="5">
        <f>($A160-1997)/((2-1)*$D$4)*G160+(1997+2*$D$4-$A160)/((2-1)*$D$4)*H160</f>
        <v>0</v>
      </c>
      <c r="AL160" s="5">
        <f>($A160-1998)/((2-1)*$D$4)*H160+(1998+2*$D$4-$A160)/((2-1)*$D$4)*I160</f>
        <v>0</v>
      </c>
      <c r="AM160" s="5">
        <f>($A160-1999)/((2-1)*$D$4)*I160+(1999+2*$D$4-$A160)/((2-1)*$D$4)*J160</f>
        <v>0</v>
      </c>
      <c r="AN160" s="5">
        <f>($A160-2000)/((2-1)*$D$4)*J160+(2000+2*$D$4-$A160)/((2-1)*$D$4)*K160</f>
        <v>0</v>
      </c>
      <c r="AO160" s="5">
        <f>($A160-2001)/((2-1)*$D$4)*K160+(2001+2*$D$4-$A160)/((2-1)*$D$4)*L160</f>
        <v>0</v>
      </c>
      <c r="AP160" s="5">
        <f>($A160-2002)/((2-1)*$D$4)*L160+(2002+2*$D$4-$A160)/((2-1)*$D$4)*M160</f>
        <v>0</v>
      </c>
      <c r="AQ160" s="5">
        <f>($A160-2003)/((2-1)*$D$4)*M160+(2003+2*$D$4-$A160)/((2-1)*$D$4)*N160</f>
        <v>0</v>
      </c>
      <c r="AR160" s="5">
        <f>($A160-2004)/((2-1)*$D$4)*N160+(2004+2*$D$4-$A160)/((2-1)*$D$4)*O160</f>
        <v>1</v>
      </c>
      <c r="AS160" s="5">
        <f>($A160-2005)/((2-1)*$D$4)*O160+(2005+2*$D$4-$A160)/((2-1)*$D$4)*P160</f>
        <v>0</v>
      </c>
      <c r="AT160" s="5">
        <f>($A160-2006)/((2-1)*$D$4)*P160+(2006+2*$D$4-$A160)/((2-1)*$D$4)*Q160</f>
        <v>0</v>
      </c>
      <c r="AU160" s="5">
        <f>($A160-2007)/((2-1)*$D$4)*Q160+(2007+2*$D$4-$A160)/((2-1)*$D$4)*R160</f>
        <v>0</v>
      </c>
      <c r="AV160" s="5">
        <f>($A160-2008)/((2-1)*$D$4)*R160+(2008+2*$D$4-$A160)/((2-1)*$D$4)*S160</f>
        <v>0</v>
      </c>
      <c r="AW160" s="5">
        <f>($A160-2009)/((2-1)*$D$4)*S160+(2009+2*$D$4-$A160)/((2-1)*$D$4)*T160</f>
        <v>0</v>
      </c>
      <c r="AX160" s="5">
        <f>($A160-2010)/((2-1)*$D$4)*T160+(2010+2*$D$4-$A160)/((2-1)*$D$4)*U160</f>
        <v>0</v>
      </c>
      <c r="AY160" s="5">
        <f>($A160-2011)/((2-1)*$D$4)*U160+(2011+2*$D$4-$A160)/((2-1)*$D$4)*V160</f>
        <v>0</v>
      </c>
      <c r="AZ160" s="5">
        <f>($A160-2012)/((2-1)*$D$4)*V160+(2012+2*$D$4-$A160)/((2-1)*$D$4)*W160</f>
        <v>0</v>
      </c>
      <c r="BA160" s="5">
        <f>($A160-2013)/((2-1)*$D$4)*W160+(2013+2*$D$4-$A160)/((2-1)*$D$4)*X160</f>
        <v>0</v>
      </c>
      <c r="BB160" s="5">
        <f>($A160-2014)/((2-1)*$D$4)*X160+(2014+2*$D$4-$A160)/((2-1)*$D$4)*Y160</f>
        <v>0</v>
      </c>
      <c r="BC160" s="5">
        <f>($A160-2015)/((2-1)*$D$4)*Y160+(2015+2*$D$4-$A160)/((2-1)*$D$4)*Z160</f>
        <v>0</v>
      </c>
      <c r="BD160" s="5">
        <f>($A160-2016)/((2-1)*$D$4)*Z160+(2016+2*$D$4-$A160)/((2-1)*$D$4)*AA160</f>
        <v>0</v>
      </c>
      <c r="BE160" s="5">
        <f>($A160-2017)/((2-1)*$D$4)*AA160+(2017+2*$D$4-$A160)/((2-1)*$D$4)*AB160</f>
        <v>0</v>
      </c>
      <c r="BF160" s="5">
        <f>($A160-2018)/((2-1)*$D$4)*AB160+(2018+2*$D$4-$A160)/((2-1)*$D$4)*AC160</f>
        <v>0</v>
      </c>
      <c r="BG160" s="5">
        <f>($A160-2019)/((2-1)*$D$4)*AC160+(2019+2*$D$4-$A160)/((2-1)*$D$4)*AD160</f>
        <v>0</v>
      </c>
      <c r="BH160" s="5">
        <f>($A160-2020)/((2-1)*$D$4)*AD160+(2020+2*$D$4-$A160)/((2-1)*$D$4)*AE160</f>
        <v>0</v>
      </c>
      <c r="BI160" s="5">
        <f>($A160-1992)/((3-1)*$D$4)*AF160+(1992+3*$D$4-$A160)/((3-1)*$D$4)*AG160</f>
        <v>0</v>
      </c>
      <c r="BJ160" s="5">
        <f>($A160-1993)/((3-1)*$D$4)*AG160+(1993+3*$D$4-$A160)/((3-1)*$D$4)*AH160</f>
        <v>0</v>
      </c>
      <c r="BK160" s="5">
        <f>($A160-1994)/((3-1)*$D$4)*AH160+(1994+3*$D$4-$A160)/((3-1)*$D$4)*AI160</f>
        <v>0</v>
      </c>
      <c r="BL160" s="5">
        <f>($A160-1995)/((3-1)*$D$4)*AI160+(1995+3*$D$4-$A160)/((3-1)*$D$4)*AJ160</f>
        <v>0</v>
      </c>
      <c r="BM160" s="5">
        <f>($A160-1996)/((3-1)*$D$4)*AJ160+(1996+3*$D$4-$A160)/((3-1)*$D$4)*AK160</f>
        <v>0</v>
      </c>
      <c r="BN160" s="5">
        <f>($A160-1997)/((3-1)*$D$4)*AK160+(1997+3*$D$4-$A160)/((3-1)*$D$4)*AL160</f>
        <v>0</v>
      </c>
      <c r="BO160" s="5">
        <f>($A160-1998)/((3-1)*$D$4)*AL160+(1998+3*$D$4-$A160)/((3-1)*$D$4)*AM160</f>
        <v>0</v>
      </c>
      <c r="BP160" s="5">
        <f>($A160-1999)/((3-1)*$D$4)*AM160+(1999+3*$D$4-$A160)/((3-1)*$D$4)*AN160</f>
        <v>0</v>
      </c>
      <c r="BQ160" s="5">
        <f>($A160-2000)/((3-1)*$D$4)*AN160+(2000+3*$D$4-$A160)/((3-1)*$D$4)*AO160</f>
        <v>0</v>
      </c>
      <c r="BR160" s="5">
        <f>($A160-2001)/((3-1)*$D$4)*AO160+(2001+3*$D$4-$A160)/((3-1)*$D$4)*AP160</f>
        <v>0</v>
      </c>
      <c r="BS160" s="5">
        <f>($A160-2002)/((3-1)*$D$4)*AP160+(2002+3*$D$4-$A160)/((3-1)*$D$4)*AQ160</f>
        <v>0</v>
      </c>
      <c r="BT160" s="5">
        <f>($A160-2003)/((3-1)*$D$4)*AQ160+(2003+3*$D$4-$A160)/((3-1)*$D$4)*AR160</f>
        <v>0.5</v>
      </c>
      <c r="BU160" s="5">
        <f>($A160-2004)/((3-1)*$D$4)*AR160+(2004+3*$D$4-$A160)/((3-1)*$D$4)*AS160</f>
        <v>0.5</v>
      </c>
      <c r="BV160" s="5">
        <f>($A160-2005)/((3-1)*$D$4)*AS160+(2005+3*$D$4-$A160)/((3-1)*$D$4)*AT160</f>
        <v>0</v>
      </c>
      <c r="BW160" s="5">
        <f>($A160-2006)/((3-1)*$D$4)*AT160+(2006+3*$D$4-$A160)/((3-1)*$D$4)*AU160</f>
        <v>0</v>
      </c>
      <c r="BX160" s="5">
        <f>($A160-2007)/((3-1)*$D$4)*AU160+(2007+3*$D$4-$A160)/((3-1)*$D$4)*AV160</f>
        <v>0</v>
      </c>
      <c r="BY160" s="5">
        <f>($A160-2008)/((3-1)*$D$4)*AV160+(2008+3*$D$4-$A160)/((3-1)*$D$4)*AW160</f>
        <v>0</v>
      </c>
      <c r="BZ160" s="5">
        <f>($A160-2009)/((3-1)*$D$4)*AW160+(2009+3*$D$4-$A160)/((3-1)*$D$4)*AX160</f>
        <v>0</v>
      </c>
      <c r="CA160" s="5">
        <f>($A160-2010)/((3-1)*$D$4)*AX160+(2010+3*$D$4-$A160)/((3-1)*$D$4)*AY160</f>
        <v>0</v>
      </c>
      <c r="CB160" s="5">
        <f>($A160-2011)/((3-1)*$D$4)*AY160+(2011+3*$D$4-$A160)/((3-1)*$D$4)*AZ160</f>
        <v>0</v>
      </c>
      <c r="CC160" s="5">
        <f>($A160-2012)/((3-1)*$D$4)*AZ160+(2012+3*$D$4-$A160)/((3-1)*$D$4)*BA160</f>
        <v>0</v>
      </c>
      <c r="CD160" s="5">
        <f>($A160-2013)/((3-1)*$D$4)*BA160+(2013+3*$D$4-$A160)/((3-1)*$D$4)*BB160</f>
        <v>0</v>
      </c>
      <c r="CE160" s="5">
        <f>($A160-2014)/((3-1)*$D$4)*BB160+(2014+3*$D$4-$A160)/((3-1)*$D$4)*BC160</f>
        <v>0</v>
      </c>
      <c r="CF160" s="5">
        <f>($A160-2015)/((3-1)*$D$4)*BC160+(2015+3*$D$4-$A160)/((3-1)*$D$4)*BD160</f>
        <v>0</v>
      </c>
      <c r="CG160" s="5">
        <f>($A160-2016)/((3-1)*$D$4)*BD160+(2016+3*$D$4-$A160)/((3-1)*$D$4)*BE160</f>
        <v>0</v>
      </c>
      <c r="CH160" s="5">
        <f>($A160-2017)/((3-1)*$D$4)*BE160+(2017+3*$D$4-$A160)/((3-1)*$D$4)*BF160</f>
        <v>0</v>
      </c>
      <c r="CI160" s="5">
        <f>($A160-2018)/((3-1)*$D$4)*BF160+(2018+3*$D$4-$A160)/((3-1)*$D$4)*BG160</f>
        <v>0</v>
      </c>
      <c r="CJ160" s="5">
        <f>($A160-2019)/((3-1)*$D$4)*BG160+(2019+3*$D$4-$A160)/((3-1)*$D$4)*BH160</f>
        <v>0</v>
      </c>
      <c r="CK160" s="5">
        <f>($A160-1992)/((4-1)*$D$4)*BI160+(1992+4*$D$4-$A160)/((4-1)*$D$4)*BJ160</f>
        <v>0</v>
      </c>
      <c r="CL160" s="5">
        <f>($A160-1993)/((4-1)*$D$4)*BJ160+(1993+4*$D$4-$A160)/((4-1)*$D$4)*BK160</f>
        <v>0</v>
      </c>
      <c r="CM160" s="5">
        <f>($A160-1994)/((4-1)*$D$4)*BK160+(1994+4*$D$4-$A160)/((4-1)*$D$4)*BL160</f>
        <v>0</v>
      </c>
      <c r="CN160" s="5">
        <f>($A160-1995)/((4-1)*$D$4)*BL160+(1995+4*$D$4-$A160)/((4-1)*$D$4)*BM160</f>
        <v>0</v>
      </c>
      <c r="CO160" s="5">
        <f>($A160-1996)/((4-1)*$D$4)*BM160+(1996+4*$D$4-$A160)/((4-1)*$D$4)*BN160</f>
        <v>0</v>
      </c>
      <c r="CP160" s="5">
        <f>($A160-1997)/((4-1)*$D$4)*BN160+(1997+4*$D$4-$A160)/((4-1)*$D$4)*BO160</f>
        <v>0</v>
      </c>
      <c r="CQ160" s="5">
        <f>($A160-1998)/((4-1)*$D$4)*BO160+(1998+4*$D$4-$A160)/((4-1)*$D$4)*BP160</f>
        <v>0</v>
      </c>
      <c r="CR160" s="5">
        <f>($A160-1999)/((4-1)*$D$4)*BP160+(1999+4*$D$4-$A160)/((4-1)*$D$4)*BQ160</f>
        <v>0</v>
      </c>
      <c r="CS160" s="5">
        <f>($A160-2000)/((4-1)*$D$4)*BQ160+(2000+4*$D$4-$A160)/((4-1)*$D$4)*BR160</f>
        <v>0</v>
      </c>
      <c r="CT160" s="5">
        <f>($A160-2001)/((4-1)*$D$4)*BR160+(2001+4*$D$4-$A160)/((4-1)*$D$4)*BS160</f>
        <v>0</v>
      </c>
      <c r="CU160" s="5">
        <f>($A160-2002)/((4-1)*$D$4)*BS160+(2002+4*$D$4-$A160)/((4-1)*$D$4)*BT160</f>
        <v>0.16666666666666666</v>
      </c>
      <c r="CV160" s="5">
        <f>($A160-2003)/((4-1)*$D$4)*BT160+(2003+4*$D$4-$A160)/((4-1)*$D$4)*BU160</f>
        <v>0.66666666666666663</v>
      </c>
      <c r="CW160" s="5">
        <f>($A160-2004)/((4-1)*$D$4)*BU160+(2004+4*$D$4-$A160)/((4-1)*$D$4)*BV160</f>
        <v>0.16666666666666666</v>
      </c>
      <c r="CX160" s="5">
        <f>($A160-2005)/((4-1)*$D$4)*BV160+(2005+4*$D$4-$A160)/((4-1)*$D$4)*BW160</f>
        <v>0</v>
      </c>
      <c r="CY160" s="5">
        <f>($A160-2006)/((4-1)*$D$4)*BW160+(2006+4*$D$4-$A160)/((4-1)*$D$4)*BX160</f>
        <v>0</v>
      </c>
      <c r="CZ160" s="5">
        <f>($A160-2007)/((4-1)*$D$4)*BX160+(2007+4*$D$4-$A160)/((4-1)*$D$4)*BY160</f>
        <v>0</v>
      </c>
      <c r="DA160" s="5">
        <f>($A160-2008)/((4-1)*$D$4)*BY160+(2008+4*$D$4-$A160)/((4-1)*$D$4)*BZ160</f>
        <v>0</v>
      </c>
      <c r="DB160" s="5">
        <f>($A160-2009)/((4-1)*$D$4)*BZ160+(2009+4*$D$4-$A160)/((4-1)*$D$4)*CA160</f>
        <v>0</v>
      </c>
      <c r="DC160" s="5">
        <f>($A160-2010)/((4-1)*$D$4)*CA160+(2010+4*$D$4-$A160)/((4-1)*$D$4)*CB160</f>
        <v>0</v>
      </c>
      <c r="DD160" s="5">
        <f>($A160-2011)/((4-1)*$D$4)*CB160+(2011+4*$D$4-$A160)/((4-1)*$D$4)*CC160</f>
        <v>0</v>
      </c>
      <c r="DE160" s="5">
        <f>($A160-2012)/((4-1)*$D$4)*CC160+(2012+4*$D$4-$A160)/((4-1)*$D$4)*CD160</f>
        <v>0</v>
      </c>
      <c r="DF160" s="5">
        <f>($A160-2013)/((4-1)*$D$4)*CD160+(2013+4*$D$4-$A160)/((4-1)*$D$4)*CE160</f>
        <v>0</v>
      </c>
      <c r="DG160" s="5">
        <f>($A160-2014)/((4-1)*$D$4)*CE160+(2014+4*$D$4-$A160)/((4-1)*$D$4)*CF160</f>
        <v>0</v>
      </c>
      <c r="DH160" s="5">
        <f>($A160-2015)/((4-1)*$D$4)*CF160+(2015+4*$D$4-$A160)/((4-1)*$D$4)*CG160</f>
        <v>0</v>
      </c>
      <c r="DI160" s="5">
        <f>($A160-2016)/((4-1)*$D$4)*CG160+(2016+4*$D$4-$A160)/((4-1)*$D$4)*CH160</f>
        <v>0</v>
      </c>
      <c r="DJ160" s="5">
        <f>($A160-2017)/((4-1)*$D$4)*CH160+(2017+4*$D$4-$A160)/((4-1)*$D$4)*CI160</f>
        <v>0</v>
      </c>
      <c r="DK160" s="5">
        <f>($A160-2018)/((4-1)*$D$4)*CI160+(2018+4*$D$4-$A160)/((4-1)*$D$4)*CJ160</f>
        <v>0</v>
      </c>
    </row>
    <row r="161">
      <c r="A161" s="3" t="n">
        <v>2006</v>
      </c>
      <c r="B161" s="5">
        <f>IF(AND($A161&gt;=1992,$A161&lt;1993),1,0)</f>
        <v>0</v>
      </c>
      <c r="C161" s="5">
        <f>IF(AND($A161&gt;=1993,$A161&lt;1994),1,0)</f>
        <v>0</v>
      </c>
      <c r="D161" s="5">
        <f>IF(AND($A161&gt;=1994,$A161&lt;1995),1,0)</f>
        <v>0</v>
      </c>
      <c r="E161" s="5">
        <f>IF(AND($A161&gt;=1995,$A161&lt;1996),1,0)</f>
        <v>0</v>
      </c>
      <c r="F161" s="5">
        <f>IF(AND($A161&gt;=1996,$A161&lt;1997),1,0)</f>
        <v>0</v>
      </c>
      <c r="G161" s="5">
        <f>IF(AND($A161&gt;=1997,$A161&lt;1998),1,0)</f>
        <v>0</v>
      </c>
      <c r="H161" s="5">
        <f>IF(AND($A161&gt;=1998,$A161&lt;1999),1,0)</f>
        <v>0</v>
      </c>
      <c r="I161" s="5">
        <f>IF(AND($A161&gt;=1999,$A161&lt;2000),1,0)</f>
        <v>0</v>
      </c>
      <c r="J161" s="5">
        <f>IF(AND($A161&gt;=2000,$A161&lt;2001),1,0)</f>
        <v>0</v>
      </c>
      <c r="K161" s="5">
        <f>IF(AND($A161&gt;=2001,$A161&lt;2002),1,0)</f>
        <v>0</v>
      </c>
      <c r="L161" s="5">
        <f>IF(AND($A161&gt;=2002,$A161&lt;2003),1,0)</f>
        <v>0</v>
      </c>
      <c r="M161" s="5">
        <f>IF(AND($A161&gt;=2003,$A161&lt;2004),1,0)</f>
        <v>0</v>
      </c>
      <c r="N161" s="5">
        <f>IF(AND($A161&gt;=2004,$A161&lt;2005),1,0)</f>
        <v>0</v>
      </c>
      <c r="O161" s="5">
        <f>IF(AND($A161&gt;=2005,$A161&lt;2006),1,0)</f>
        <v>0</v>
      </c>
      <c r="P161" s="5">
        <f>IF(AND($A161&gt;=2006,$A161&lt;2007),1,0)</f>
        <v>1</v>
      </c>
      <c r="Q161" s="5">
        <f>IF(AND($A161&gt;=2007,$A161&lt;2008),1,0)</f>
        <v>0</v>
      </c>
      <c r="R161" s="5">
        <f>IF(AND($A161&gt;=2008,$A161&lt;2009),1,0)</f>
        <v>0</v>
      </c>
      <c r="S161" s="5">
        <f>IF(AND($A161&gt;=2009,$A161&lt;2010),1,0)</f>
        <v>0</v>
      </c>
      <c r="T161" s="5">
        <f>IF(AND($A161&gt;=2010,$A161&lt;2011),1,0)</f>
        <v>0</v>
      </c>
      <c r="U161" s="5">
        <f>IF(AND($A161&gt;=2011,$A161&lt;2012),1,0)</f>
        <v>0</v>
      </c>
      <c r="V161" s="5">
        <f>IF(AND($A161&gt;=2012,$A161&lt;2013),1,0)</f>
        <v>0</v>
      </c>
      <c r="W161" s="5">
        <f>IF(AND($A161&gt;=2013,$A161&lt;2014),1,0)</f>
        <v>0</v>
      </c>
      <c r="X161" s="5">
        <f>IF(AND($A161&gt;=2014,$A161&lt;2015),1,0)</f>
        <v>0</v>
      </c>
      <c r="Y161" s="5">
        <f>IF(AND($A161&gt;=2015,$A161&lt;2016),1,0)</f>
        <v>0</v>
      </c>
      <c r="Z161" s="5">
        <f>IF(AND($A161&gt;=2016,$A161&lt;2017),1,0)</f>
        <v>0</v>
      </c>
      <c r="AA161" s="5">
        <f>IF(AND($A161&gt;=2017,$A161&lt;2018),1,0)</f>
        <v>0</v>
      </c>
      <c r="AB161" s="5">
        <f>IF(AND($A161&gt;=2018,$A161&lt;2019),1,0)</f>
        <v>0</v>
      </c>
      <c r="AC161" s="5">
        <f>IF(AND($A161&gt;=2019,$A161&lt;2020),1,0)</f>
        <v>0</v>
      </c>
      <c r="AD161" s="5">
        <f>IF(AND($A161&gt;=2020,$A161&lt;2021),1,0)</f>
        <v>0</v>
      </c>
      <c r="AE161" s="5">
        <f>IF(AND($A161&gt;=2021,$A161&lt;2022),1,0)</f>
        <v>0</v>
      </c>
      <c r="AF161" s="5">
        <f>($A161-1992)/((2-1)*$D$4)*B161+(1992+2*$D$4-$A161)/((2-1)*$D$4)*C161</f>
        <v>0</v>
      </c>
      <c r="AG161" s="5">
        <f>($A161-1993)/((2-1)*$D$4)*C161+(1993+2*$D$4-$A161)/((2-1)*$D$4)*D161</f>
        <v>0</v>
      </c>
      <c r="AH161" s="5">
        <f>($A161-1994)/((2-1)*$D$4)*D161+(1994+2*$D$4-$A161)/((2-1)*$D$4)*E161</f>
        <v>0</v>
      </c>
      <c r="AI161" s="5">
        <f>($A161-1995)/((2-1)*$D$4)*E161+(1995+2*$D$4-$A161)/((2-1)*$D$4)*F161</f>
        <v>0</v>
      </c>
      <c r="AJ161" s="5">
        <f>($A161-1996)/((2-1)*$D$4)*F161+(1996+2*$D$4-$A161)/((2-1)*$D$4)*G161</f>
        <v>0</v>
      </c>
      <c r="AK161" s="5">
        <f>($A161-1997)/((2-1)*$D$4)*G161+(1997+2*$D$4-$A161)/((2-1)*$D$4)*H161</f>
        <v>0</v>
      </c>
      <c r="AL161" s="5">
        <f>($A161-1998)/((2-1)*$D$4)*H161+(1998+2*$D$4-$A161)/((2-1)*$D$4)*I161</f>
        <v>0</v>
      </c>
      <c r="AM161" s="5">
        <f>($A161-1999)/((2-1)*$D$4)*I161+(1999+2*$D$4-$A161)/((2-1)*$D$4)*J161</f>
        <v>0</v>
      </c>
      <c r="AN161" s="5">
        <f>($A161-2000)/((2-1)*$D$4)*J161+(2000+2*$D$4-$A161)/((2-1)*$D$4)*K161</f>
        <v>0</v>
      </c>
      <c r="AO161" s="5">
        <f>($A161-2001)/((2-1)*$D$4)*K161+(2001+2*$D$4-$A161)/((2-1)*$D$4)*L161</f>
        <v>0</v>
      </c>
      <c r="AP161" s="5">
        <f>($A161-2002)/((2-1)*$D$4)*L161+(2002+2*$D$4-$A161)/((2-1)*$D$4)*M161</f>
        <v>0</v>
      </c>
      <c r="AQ161" s="5">
        <f>($A161-2003)/((2-1)*$D$4)*M161+(2003+2*$D$4-$A161)/((2-1)*$D$4)*N161</f>
        <v>0</v>
      </c>
      <c r="AR161" s="5">
        <f>($A161-2004)/((2-1)*$D$4)*N161+(2004+2*$D$4-$A161)/((2-1)*$D$4)*O161</f>
        <v>0</v>
      </c>
      <c r="AS161" s="5">
        <f>($A161-2005)/((2-1)*$D$4)*O161+(2005+2*$D$4-$A161)/((2-1)*$D$4)*P161</f>
        <v>1</v>
      </c>
      <c r="AT161" s="5">
        <f>($A161-2006)/((2-1)*$D$4)*P161+(2006+2*$D$4-$A161)/((2-1)*$D$4)*Q161</f>
        <v>0</v>
      </c>
      <c r="AU161" s="5">
        <f>($A161-2007)/((2-1)*$D$4)*Q161+(2007+2*$D$4-$A161)/((2-1)*$D$4)*R161</f>
        <v>0</v>
      </c>
      <c r="AV161" s="5">
        <f>($A161-2008)/((2-1)*$D$4)*R161+(2008+2*$D$4-$A161)/((2-1)*$D$4)*S161</f>
        <v>0</v>
      </c>
      <c r="AW161" s="5">
        <f>($A161-2009)/((2-1)*$D$4)*S161+(2009+2*$D$4-$A161)/((2-1)*$D$4)*T161</f>
        <v>0</v>
      </c>
      <c r="AX161" s="5">
        <f>($A161-2010)/((2-1)*$D$4)*T161+(2010+2*$D$4-$A161)/((2-1)*$D$4)*U161</f>
        <v>0</v>
      </c>
      <c r="AY161" s="5">
        <f>($A161-2011)/((2-1)*$D$4)*U161+(2011+2*$D$4-$A161)/((2-1)*$D$4)*V161</f>
        <v>0</v>
      </c>
      <c r="AZ161" s="5">
        <f>($A161-2012)/((2-1)*$D$4)*V161+(2012+2*$D$4-$A161)/((2-1)*$D$4)*W161</f>
        <v>0</v>
      </c>
      <c r="BA161" s="5">
        <f>($A161-2013)/((2-1)*$D$4)*W161+(2013+2*$D$4-$A161)/((2-1)*$D$4)*X161</f>
        <v>0</v>
      </c>
      <c r="BB161" s="5">
        <f>($A161-2014)/((2-1)*$D$4)*X161+(2014+2*$D$4-$A161)/((2-1)*$D$4)*Y161</f>
        <v>0</v>
      </c>
      <c r="BC161" s="5">
        <f>($A161-2015)/((2-1)*$D$4)*Y161+(2015+2*$D$4-$A161)/((2-1)*$D$4)*Z161</f>
        <v>0</v>
      </c>
      <c r="BD161" s="5">
        <f>($A161-2016)/((2-1)*$D$4)*Z161+(2016+2*$D$4-$A161)/((2-1)*$D$4)*AA161</f>
        <v>0</v>
      </c>
      <c r="BE161" s="5">
        <f>($A161-2017)/((2-1)*$D$4)*AA161+(2017+2*$D$4-$A161)/((2-1)*$D$4)*AB161</f>
        <v>0</v>
      </c>
      <c r="BF161" s="5">
        <f>($A161-2018)/((2-1)*$D$4)*AB161+(2018+2*$D$4-$A161)/((2-1)*$D$4)*AC161</f>
        <v>0</v>
      </c>
      <c r="BG161" s="5">
        <f>($A161-2019)/((2-1)*$D$4)*AC161+(2019+2*$D$4-$A161)/((2-1)*$D$4)*AD161</f>
        <v>0</v>
      </c>
      <c r="BH161" s="5">
        <f>($A161-2020)/((2-1)*$D$4)*AD161+(2020+2*$D$4-$A161)/((2-1)*$D$4)*AE161</f>
        <v>0</v>
      </c>
      <c r="BI161" s="5">
        <f>($A161-1992)/((3-1)*$D$4)*AF161+(1992+3*$D$4-$A161)/((3-1)*$D$4)*AG161</f>
        <v>0</v>
      </c>
      <c r="BJ161" s="5">
        <f>($A161-1993)/((3-1)*$D$4)*AG161+(1993+3*$D$4-$A161)/((3-1)*$D$4)*AH161</f>
        <v>0</v>
      </c>
      <c r="BK161" s="5">
        <f>($A161-1994)/((3-1)*$D$4)*AH161+(1994+3*$D$4-$A161)/((3-1)*$D$4)*AI161</f>
        <v>0</v>
      </c>
      <c r="BL161" s="5">
        <f>($A161-1995)/((3-1)*$D$4)*AI161+(1995+3*$D$4-$A161)/((3-1)*$D$4)*AJ161</f>
        <v>0</v>
      </c>
      <c r="BM161" s="5">
        <f>($A161-1996)/((3-1)*$D$4)*AJ161+(1996+3*$D$4-$A161)/((3-1)*$D$4)*AK161</f>
        <v>0</v>
      </c>
      <c r="BN161" s="5">
        <f>($A161-1997)/((3-1)*$D$4)*AK161+(1997+3*$D$4-$A161)/((3-1)*$D$4)*AL161</f>
        <v>0</v>
      </c>
      <c r="BO161" s="5">
        <f>($A161-1998)/((3-1)*$D$4)*AL161+(1998+3*$D$4-$A161)/((3-1)*$D$4)*AM161</f>
        <v>0</v>
      </c>
      <c r="BP161" s="5">
        <f>($A161-1999)/((3-1)*$D$4)*AM161+(1999+3*$D$4-$A161)/((3-1)*$D$4)*AN161</f>
        <v>0</v>
      </c>
      <c r="BQ161" s="5">
        <f>($A161-2000)/((3-1)*$D$4)*AN161+(2000+3*$D$4-$A161)/((3-1)*$D$4)*AO161</f>
        <v>0</v>
      </c>
      <c r="BR161" s="5">
        <f>($A161-2001)/((3-1)*$D$4)*AO161+(2001+3*$D$4-$A161)/((3-1)*$D$4)*AP161</f>
        <v>0</v>
      </c>
      <c r="BS161" s="5">
        <f>($A161-2002)/((3-1)*$D$4)*AP161+(2002+3*$D$4-$A161)/((3-1)*$D$4)*AQ161</f>
        <v>0</v>
      </c>
      <c r="BT161" s="5">
        <f>($A161-2003)/((3-1)*$D$4)*AQ161+(2003+3*$D$4-$A161)/((3-1)*$D$4)*AR161</f>
        <v>0</v>
      </c>
      <c r="BU161" s="5">
        <f>($A161-2004)/((3-1)*$D$4)*AR161+(2004+3*$D$4-$A161)/((3-1)*$D$4)*AS161</f>
        <v>0.5</v>
      </c>
      <c r="BV161" s="5">
        <f>($A161-2005)/((3-1)*$D$4)*AS161+(2005+3*$D$4-$A161)/((3-1)*$D$4)*AT161</f>
        <v>0.5</v>
      </c>
      <c r="BW161" s="5">
        <f>($A161-2006)/((3-1)*$D$4)*AT161+(2006+3*$D$4-$A161)/((3-1)*$D$4)*AU161</f>
        <v>0</v>
      </c>
      <c r="BX161" s="5">
        <f>($A161-2007)/((3-1)*$D$4)*AU161+(2007+3*$D$4-$A161)/((3-1)*$D$4)*AV161</f>
        <v>0</v>
      </c>
      <c r="BY161" s="5">
        <f>($A161-2008)/((3-1)*$D$4)*AV161+(2008+3*$D$4-$A161)/((3-1)*$D$4)*AW161</f>
        <v>0</v>
      </c>
      <c r="BZ161" s="5">
        <f>($A161-2009)/((3-1)*$D$4)*AW161+(2009+3*$D$4-$A161)/((3-1)*$D$4)*AX161</f>
        <v>0</v>
      </c>
      <c r="CA161" s="5">
        <f>($A161-2010)/((3-1)*$D$4)*AX161+(2010+3*$D$4-$A161)/((3-1)*$D$4)*AY161</f>
        <v>0</v>
      </c>
      <c r="CB161" s="5">
        <f>($A161-2011)/((3-1)*$D$4)*AY161+(2011+3*$D$4-$A161)/((3-1)*$D$4)*AZ161</f>
        <v>0</v>
      </c>
      <c r="CC161" s="5">
        <f>($A161-2012)/((3-1)*$D$4)*AZ161+(2012+3*$D$4-$A161)/((3-1)*$D$4)*BA161</f>
        <v>0</v>
      </c>
      <c r="CD161" s="5">
        <f>($A161-2013)/((3-1)*$D$4)*BA161+(2013+3*$D$4-$A161)/((3-1)*$D$4)*BB161</f>
        <v>0</v>
      </c>
      <c r="CE161" s="5">
        <f>($A161-2014)/((3-1)*$D$4)*BB161+(2014+3*$D$4-$A161)/((3-1)*$D$4)*BC161</f>
        <v>0</v>
      </c>
      <c r="CF161" s="5">
        <f>($A161-2015)/((3-1)*$D$4)*BC161+(2015+3*$D$4-$A161)/((3-1)*$D$4)*BD161</f>
        <v>0</v>
      </c>
      <c r="CG161" s="5">
        <f>($A161-2016)/((3-1)*$D$4)*BD161+(2016+3*$D$4-$A161)/((3-1)*$D$4)*BE161</f>
        <v>0</v>
      </c>
      <c r="CH161" s="5">
        <f>($A161-2017)/((3-1)*$D$4)*BE161+(2017+3*$D$4-$A161)/((3-1)*$D$4)*BF161</f>
        <v>0</v>
      </c>
      <c r="CI161" s="5">
        <f>($A161-2018)/((3-1)*$D$4)*BF161+(2018+3*$D$4-$A161)/((3-1)*$D$4)*BG161</f>
        <v>0</v>
      </c>
      <c r="CJ161" s="5">
        <f>($A161-2019)/((3-1)*$D$4)*BG161+(2019+3*$D$4-$A161)/((3-1)*$D$4)*BH161</f>
        <v>0</v>
      </c>
      <c r="CK161" s="5">
        <f>($A161-1992)/((4-1)*$D$4)*BI161+(1992+4*$D$4-$A161)/((4-1)*$D$4)*BJ161</f>
        <v>0</v>
      </c>
      <c r="CL161" s="5">
        <f>($A161-1993)/((4-1)*$D$4)*BJ161+(1993+4*$D$4-$A161)/((4-1)*$D$4)*BK161</f>
        <v>0</v>
      </c>
      <c r="CM161" s="5">
        <f>($A161-1994)/((4-1)*$D$4)*BK161+(1994+4*$D$4-$A161)/((4-1)*$D$4)*BL161</f>
        <v>0</v>
      </c>
      <c r="CN161" s="5">
        <f>($A161-1995)/((4-1)*$D$4)*BL161+(1995+4*$D$4-$A161)/((4-1)*$D$4)*BM161</f>
        <v>0</v>
      </c>
      <c r="CO161" s="5">
        <f>($A161-1996)/((4-1)*$D$4)*BM161+(1996+4*$D$4-$A161)/((4-1)*$D$4)*BN161</f>
        <v>0</v>
      </c>
      <c r="CP161" s="5">
        <f>($A161-1997)/((4-1)*$D$4)*BN161+(1997+4*$D$4-$A161)/((4-1)*$D$4)*BO161</f>
        <v>0</v>
      </c>
      <c r="CQ161" s="5">
        <f>($A161-1998)/((4-1)*$D$4)*BO161+(1998+4*$D$4-$A161)/((4-1)*$D$4)*BP161</f>
        <v>0</v>
      </c>
      <c r="CR161" s="5">
        <f>($A161-1999)/((4-1)*$D$4)*BP161+(1999+4*$D$4-$A161)/((4-1)*$D$4)*BQ161</f>
        <v>0</v>
      </c>
      <c r="CS161" s="5">
        <f>($A161-2000)/((4-1)*$D$4)*BQ161+(2000+4*$D$4-$A161)/((4-1)*$D$4)*BR161</f>
        <v>0</v>
      </c>
      <c r="CT161" s="5">
        <f>($A161-2001)/((4-1)*$D$4)*BR161+(2001+4*$D$4-$A161)/((4-1)*$D$4)*BS161</f>
        <v>0</v>
      </c>
      <c r="CU161" s="5">
        <f>($A161-2002)/((4-1)*$D$4)*BS161+(2002+4*$D$4-$A161)/((4-1)*$D$4)*BT161</f>
        <v>0</v>
      </c>
      <c r="CV161" s="5">
        <f>($A161-2003)/((4-1)*$D$4)*BT161+(2003+4*$D$4-$A161)/((4-1)*$D$4)*BU161</f>
        <v>0.16666666666666666</v>
      </c>
      <c r="CW161" s="5">
        <f>($A161-2004)/((4-1)*$D$4)*BU161+(2004+4*$D$4-$A161)/((4-1)*$D$4)*BV161</f>
        <v>0.66666666666666663</v>
      </c>
      <c r="CX161" s="5">
        <f>($A161-2005)/((4-1)*$D$4)*BV161+(2005+4*$D$4-$A161)/((4-1)*$D$4)*BW161</f>
        <v>0.16666666666666666</v>
      </c>
      <c r="CY161" s="5">
        <f>($A161-2006)/((4-1)*$D$4)*BW161+(2006+4*$D$4-$A161)/((4-1)*$D$4)*BX161</f>
        <v>0</v>
      </c>
      <c r="CZ161" s="5">
        <f>($A161-2007)/((4-1)*$D$4)*BX161+(2007+4*$D$4-$A161)/((4-1)*$D$4)*BY161</f>
        <v>0</v>
      </c>
      <c r="DA161" s="5">
        <f>($A161-2008)/((4-1)*$D$4)*BY161+(2008+4*$D$4-$A161)/((4-1)*$D$4)*BZ161</f>
        <v>0</v>
      </c>
      <c r="DB161" s="5">
        <f>($A161-2009)/((4-1)*$D$4)*BZ161+(2009+4*$D$4-$A161)/((4-1)*$D$4)*CA161</f>
        <v>0</v>
      </c>
      <c r="DC161" s="5">
        <f>($A161-2010)/((4-1)*$D$4)*CA161+(2010+4*$D$4-$A161)/((4-1)*$D$4)*CB161</f>
        <v>0</v>
      </c>
      <c r="DD161" s="5">
        <f>($A161-2011)/((4-1)*$D$4)*CB161+(2011+4*$D$4-$A161)/((4-1)*$D$4)*CC161</f>
        <v>0</v>
      </c>
      <c r="DE161" s="5">
        <f>($A161-2012)/((4-1)*$D$4)*CC161+(2012+4*$D$4-$A161)/((4-1)*$D$4)*CD161</f>
        <v>0</v>
      </c>
      <c r="DF161" s="5">
        <f>($A161-2013)/((4-1)*$D$4)*CD161+(2013+4*$D$4-$A161)/((4-1)*$D$4)*CE161</f>
        <v>0</v>
      </c>
      <c r="DG161" s="5">
        <f>($A161-2014)/((4-1)*$D$4)*CE161+(2014+4*$D$4-$A161)/((4-1)*$D$4)*CF161</f>
        <v>0</v>
      </c>
      <c r="DH161" s="5">
        <f>($A161-2015)/((4-1)*$D$4)*CF161+(2015+4*$D$4-$A161)/((4-1)*$D$4)*CG161</f>
        <v>0</v>
      </c>
      <c r="DI161" s="5">
        <f>($A161-2016)/((4-1)*$D$4)*CG161+(2016+4*$D$4-$A161)/((4-1)*$D$4)*CH161</f>
        <v>0</v>
      </c>
      <c r="DJ161" s="5">
        <f>($A161-2017)/((4-1)*$D$4)*CH161+(2017+4*$D$4-$A161)/((4-1)*$D$4)*CI161</f>
        <v>0</v>
      </c>
      <c r="DK161" s="5">
        <f>($A161-2018)/((4-1)*$D$4)*CI161+(2018+4*$D$4-$A161)/((4-1)*$D$4)*CJ161</f>
        <v>0</v>
      </c>
    </row>
    <row r="162">
      <c r="A162" s="3" t="n">
        <v>2007</v>
      </c>
      <c r="B162" s="5">
        <f>IF(AND($A162&gt;=1992,$A162&lt;1993),1,0)</f>
        <v>0</v>
      </c>
      <c r="C162" s="5">
        <f>IF(AND($A162&gt;=1993,$A162&lt;1994),1,0)</f>
        <v>0</v>
      </c>
      <c r="D162" s="5">
        <f>IF(AND($A162&gt;=1994,$A162&lt;1995),1,0)</f>
        <v>0</v>
      </c>
      <c r="E162" s="5">
        <f>IF(AND($A162&gt;=1995,$A162&lt;1996),1,0)</f>
        <v>0</v>
      </c>
      <c r="F162" s="5">
        <f>IF(AND($A162&gt;=1996,$A162&lt;1997),1,0)</f>
        <v>0</v>
      </c>
      <c r="G162" s="5">
        <f>IF(AND($A162&gt;=1997,$A162&lt;1998),1,0)</f>
        <v>0</v>
      </c>
      <c r="H162" s="5">
        <f>IF(AND($A162&gt;=1998,$A162&lt;1999),1,0)</f>
        <v>0</v>
      </c>
      <c r="I162" s="5">
        <f>IF(AND($A162&gt;=1999,$A162&lt;2000),1,0)</f>
        <v>0</v>
      </c>
      <c r="J162" s="5">
        <f>IF(AND($A162&gt;=2000,$A162&lt;2001),1,0)</f>
        <v>0</v>
      </c>
      <c r="K162" s="5">
        <f>IF(AND($A162&gt;=2001,$A162&lt;2002),1,0)</f>
        <v>0</v>
      </c>
      <c r="L162" s="5">
        <f>IF(AND($A162&gt;=2002,$A162&lt;2003),1,0)</f>
        <v>0</v>
      </c>
      <c r="M162" s="5">
        <f>IF(AND($A162&gt;=2003,$A162&lt;2004),1,0)</f>
        <v>0</v>
      </c>
      <c r="N162" s="5">
        <f>IF(AND($A162&gt;=2004,$A162&lt;2005),1,0)</f>
        <v>0</v>
      </c>
      <c r="O162" s="5">
        <f>IF(AND($A162&gt;=2005,$A162&lt;2006),1,0)</f>
        <v>0</v>
      </c>
      <c r="P162" s="5">
        <f>IF(AND($A162&gt;=2006,$A162&lt;2007),1,0)</f>
        <v>0</v>
      </c>
      <c r="Q162" s="5">
        <f>IF(AND($A162&gt;=2007,$A162&lt;2008),1,0)</f>
        <v>1</v>
      </c>
      <c r="R162" s="5">
        <f>IF(AND($A162&gt;=2008,$A162&lt;2009),1,0)</f>
        <v>0</v>
      </c>
      <c r="S162" s="5">
        <f>IF(AND($A162&gt;=2009,$A162&lt;2010),1,0)</f>
        <v>0</v>
      </c>
      <c r="T162" s="5">
        <f>IF(AND($A162&gt;=2010,$A162&lt;2011),1,0)</f>
        <v>0</v>
      </c>
      <c r="U162" s="5">
        <f>IF(AND($A162&gt;=2011,$A162&lt;2012),1,0)</f>
        <v>0</v>
      </c>
      <c r="V162" s="5">
        <f>IF(AND($A162&gt;=2012,$A162&lt;2013),1,0)</f>
        <v>0</v>
      </c>
      <c r="W162" s="5">
        <f>IF(AND($A162&gt;=2013,$A162&lt;2014),1,0)</f>
        <v>0</v>
      </c>
      <c r="X162" s="5">
        <f>IF(AND($A162&gt;=2014,$A162&lt;2015),1,0)</f>
        <v>0</v>
      </c>
      <c r="Y162" s="5">
        <f>IF(AND($A162&gt;=2015,$A162&lt;2016),1,0)</f>
        <v>0</v>
      </c>
      <c r="Z162" s="5">
        <f>IF(AND($A162&gt;=2016,$A162&lt;2017),1,0)</f>
        <v>0</v>
      </c>
      <c r="AA162" s="5">
        <f>IF(AND($A162&gt;=2017,$A162&lt;2018),1,0)</f>
        <v>0</v>
      </c>
      <c r="AB162" s="5">
        <f>IF(AND($A162&gt;=2018,$A162&lt;2019),1,0)</f>
        <v>0</v>
      </c>
      <c r="AC162" s="5">
        <f>IF(AND($A162&gt;=2019,$A162&lt;2020),1,0)</f>
        <v>0</v>
      </c>
      <c r="AD162" s="5">
        <f>IF(AND($A162&gt;=2020,$A162&lt;2021),1,0)</f>
        <v>0</v>
      </c>
      <c r="AE162" s="5">
        <f>IF(AND($A162&gt;=2021,$A162&lt;2022),1,0)</f>
        <v>0</v>
      </c>
      <c r="AF162" s="5">
        <f>($A162-1992)/((2-1)*$D$4)*B162+(1992+2*$D$4-$A162)/((2-1)*$D$4)*C162</f>
        <v>0</v>
      </c>
      <c r="AG162" s="5">
        <f>($A162-1993)/((2-1)*$D$4)*C162+(1993+2*$D$4-$A162)/((2-1)*$D$4)*D162</f>
        <v>0</v>
      </c>
      <c r="AH162" s="5">
        <f>($A162-1994)/((2-1)*$D$4)*D162+(1994+2*$D$4-$A162)/((2-1)*$D$4)*E162</f>
        <v>0</v>
      </c>
      <c r="AI162" s="5">
        <f>($A162-1995)/((2-1)*$D$4)*E162+(1995+2*$D$4-$A162)/((2-1)*$D$4)*F162</f>
        <v>0</v>
      </c>
      <c r="AJ162" s="5">
        <f>($A162-1996)/((2-1)*$D$4)*F162+(1996+2*$D$4-$A162)/((2-1)*$D$4)*G162</f>
        <v>0</v>
      </c>
      <c r="AK162" s="5">
        <f>($A162-1997)/((2-1)*$D$4)*G162+(1997+2*$D$4-$A162)/((2-1)*$D$4)*H162</f>
        <v>0</v>
      </c>
      <c r="AL162" s="5">
        <f>($A162-1998)/((2-1)*$D$4)*H162+(1998+2*$D$4-$A162)/((2-1)*$D$4)*I162</f>
        <v>0</v>
      </c>
      <c r="AM162" s="5">
        <f>($A162-1999)/((2-1)*$D$4)*I162+(1999+2*$D$4-$A162)/((2-1)*$D$4)*J162</f>
        <v>0</v>
      </c>
      <c r="AN162" s="5">
        <f>($A162-2000)/((2-1)*$D$4)*J162+(2000+2*$D$4-$A162)/((2-1)*$D$4)*K162</f>
        <v>0</v>
      </c>
      <c r="AO162" s="5">
        <f>($A162-2001)/((2-1)*$D$4)*K162+(2001+2*$D$4-$A162)/((2-1)*$D$4)*L162</f>
        <v>0</v>
      </c>
      <c r="AP162" s="5">
        <f>($A162-2002)/((2-1)*$D$4)*L162+(2002+2*$D$4-$A162)/((2-1)*$D$4)*M162</f>
        <v>0</v>
      </c>
      <c r="AQ162" s="5">
        <f>($A162-2003)/((2-1)*$D$4)*M162+(2003+2*$D$4-$A162)/((2-1)*$D$4)*N162</f>
        <v>0</v>
      </c>
      <c r="AR162" s="5">
        <f>($A162-2004)/((2-1)*$D$4)*N162+(2004+2*$D$4-$A162)/((2-1)*$D$4)*O162</f>
        <v>0</v>
      </c>
      <c r="AS162" s="5">
        <f>($A162-2005)/((2-1)*$D$4)*O162+(2005+2*$D$4-$A162)/((2-1)*$D$4)*P162</f>
        <v>0</v>
      </c>
      <c r="AT162" s="5">
        <f>($A162-2006)/((2-1)*$D$4)*P162+(2006+2*$D$4-$A162)/((2-1)*$D$4)*Q162</f>
        <v>1</v>
      </c>
      <c r="AU162" s="5">
        <f>($A162-2007)/((2-1)*$D$4)*Q162+(2007+2*$D$4-$A162)/((2-1)*$D$4)*R162</f>
        <v>0</v>
      </c>
      <c r="AV162" s="5">
        <f>($A162-2008)/((2-1)*$D$4)*R162+(2008+2*$D$4-$A162)/((2-1)*$D$4)*S162</f>
        <v>0</v>
      </c>
      <c r="AW162" s="5">
        <f>($A162-2009)/((2-1)*$D$4)*S162+(2009+2*$D$4-$A162)/((2-1)*$D$4)*T162</f>
        <v>0</v>
      </c>
      <c r="AX162" s="5">
        <f>($A162-2010)/((2-1)*$D$4)*T162+(2010+2*$D$4-$A162)/((2-1)*$D$4)*U162</f>
        <v>0</v>
      </c>
      <c r="AY162" s="5">
        <f>($A162-2011)/((2-1)*$D$4)*U162+(2011+2*$D$4-$A162)/((2-1)*$D$4)*V162</f>
        <v>0</v>
      </c>
      <c r="AZ162" s="5">
        <f>($A162-2012)/((2-1)*$D$4)*V162+(2012+2*$D$4-$A162)/((2-1)*$D$4)*W162</f>
        <v>0</v>
      </c>
      <c r="BA162" s="5">
        <f>($A162-2013)/((2-1)*$D$4)*W162+(2013+2*$D$4-$A162)/((2-1)*$D$4)*X162</f>
        <v>0</v>
      </c>
      <c r="BB162" s="5">
        <f>($A162-2014)/((2-1)*$D$4)*X162+(2014+2*$D$4-$A162)/((2-1)*$D$4)*Y162</f>
        <v>0</v>
      </c>
      <c r="BC162" s="5">
        <f>($A162-2015)/((2-1)*$D$4)*Y162+(2015+2*$D$4-$A162)/((2-1)*$D$4)*Z162</f>
        <v>0</v>
      </c>
      <c r="BD162" s="5">
        <f>($A162-2016)/((2-1)*$D$4)*Z162+(2016+2*$D$4-$A162)/((2-1)*$D$4)*AA162</f>
        <v>0</v>
      </c>
      <c r="BE162" s="5">
        <f>($A162-2017)/((2-1)*$D$4)*AA162+(2017+2*$D$4-$A162)/((2-1)*$D$4)*AB162</f>
        <v>0</v>
      </c>
      <c r="BF162" s="5">
        <f>($A162-2018)/((2-1)*$D$4)*AB162+(2018+2*$D$4-$A162)/((2-1)*$D$4)*AC162</f>
        <v>0</v>
      </c>
      <c r="BG162" s="5">
        <f>($A162-2019)/((2-1)*$D$4)*AC162+(2019+2*$D$4-$A162)/((2-1)*$D$4)*AD162</f>
        <v>0</v>
      </c>
      <c r="BH162" s="5">
        <f>($A162-2020)/((2-1)*$D$4)*AD162+(2020+2*$D$4-$A162)/((2-1)*$D$4)*AE162</f>
        <v>0</v>
      </c>
      <c r="BI162" s="5">
        <f>($A162-1992)/((3-1)*$D$4)*AF162+(1992+3*$D$4-$A162)/((3-1)*$D$4)*AG162</f>
        <v>0</v>
      </c>
      <c r="BJ162" s="5">
        <f>($A162-1993)/((3-1)*$D$4)*AG162+(1993+3*$D$4-$A162)/((3-1)*$D$4)*AH162</f>
        <v>0</v>
      </c>
      <c r="BK162" s="5">
        <f>($A162-1994)/((3-1)*$D$4)*AH162+(1994+3*$D$4-$A162)/((3-1)*$D$4)*AI162</f>
        <v>0</v>
      </c>
      <c r="BL162" s="5">
        <f>($A162-1995)/((3-1)*$D$4)*AI162+(1995+3*$D$4-$A162)/((3-1)*$D$4)*AJ162</f>
        <v>0</v>
      </c>
      <c r="BM162" s="5">
        <f>($A162-1996)/((3-1)*$D$4)*AJ162+(1996+3*$D$4-$A162)/((3-1)*$D$4)*AK162</f>
        <v>0</v>
      </c>
      <c r="BN162" s="5">
        <f>($A162-1997)/((3-1)*$D$4)*AK162+(1997+3*$D$4-$A162)/((3-1)*$D$4)*AL162</f>
        <v>0</v>
      </c>
      <c r="BO162" s="5">
        <f>($A162-1998)/((3-1)*$D$4)*AL162+(1998+3*$D$4-$A162)/((3-1)*$D$4)*AM162</f>
        <v>0</v>
      </c>
      <c r="BP162" s="5">
        <f>($A162-1999)/((3-1)*$D$4)*AM162+(1999+3*$D$4-$A162)/((3-1)*$D$4)*AN162</f>
        <v>0</v>
      </c>
      <c r="BQ162" s="5">
        <f>($A162-2000)/((3-1)*$D$4)*AN162+(2000+3*$D$4-$A162)/((3-1)*$D$4)*AO162</f>
        <v>0</v>
      </c>
      <c r="BR162" s="5">
        <f>($A162-2001)/((3-1)*$D$4)*AO162+(2001+3*$D$4-$A162)/((3-1)*$D$4)*AP162</f>
        <v>0</v>
      </c>
      <c r="BS162" s="5">
        <f>($A162-2002)/((3-1)*$D$4)*AP162+(2002+3*$D$4-$A162)/((3-1)*$D$4)*AQ162</f>
        <v>0</v>
      </c>
      <c r="BT162" s="5">
        <f>($A162-2003)/((3-1)*$D$4)*AQ162+(2003+3*$D$4-$A162)/((3-1)*$D$4)*AR162</f>
        <v>0</v>
      </c>
      <c r="BU162" s="5">
        <f>($A162-2004)/((3-1)*$D$4)*AR162+(2004+3*$D$4-$A162)/((3-1)*$D$4)*AS162</f>
        <v>0</v>
      </c>
      <c r="BV162" s="5">
        <f>($A162-2005)/((3-1)*$D$4)*AS162+(2005+3*$D$4-$A162)/((3-1)*$D$4)*AT162</f>
        <v>0.5</v>
      </c>
      <c r="BW162" s="5">
        <f>($A162-2006)/((3-1)*$D$4)*AT162+(2006+3*$D$4-$A162)/((3-1)*$D$4)*AU162</f>
        <v>0.5</v>
      </c>
      <c r="BX162" s="5">
        <f>($A162-2007)/((3-1)*$D$4)*AU162+(2007+3*$D$4-$A162)/((3-1)*$D$4)*AV162</f>
        <v>0</v>
      </c>
      <c r="BY162" s="5">
        <f>($A162-2008)/((3-1)*$D$4)*AV162+(2008+3*$D$4-$A162)/((3-1)*$D$4)*AW162</f>
        <v>0</v>
      </c>
      <c r="BZ162" s="5">
        <f>($A162-2009)/((3-1)*$D$4)*AW162+(2009+3*$D$4-$A162)/((3-1)*$D$4)*AX162</f>
        <v>0</v>
      </c>
      <c r="CA162" s="5">
        <f>($A162-2010)/((3-1)*$D$4)*AX162+(2010+3*$D$4-$A162)/((3-1)*$D$4)*AY162</f>
        <v>0</v>
      </c>
      <c r="CB162" s="5">
        <f>($A162-2011)/((3-1)*$D$4)*AY162+(2011+3*$D$4-$A162)/((3-1)*$D$4)*AZ162</f>
        <v>0</v>
      </c>
      <c r="CC162" s="5">
        <f>($A162-2012)/((3-1)*$D$4)*AZ162+(2012+3*$D$4-$A162)/((3-1)*$D$4)*BA162</f>
        <v>0</v>
      </c>
      <c r="CD162" s="5">
        <f>($A162-2013)/((3-1)*$D$4)*BA162+(2013+3*$D$4-$A162)/((3-1)*$D$4)*BB162</f>
        <v>0</v>
      </c>
      <c r="CE162" s="5">
        <f>($A162-2014)/((3-1)*$D$4)*BB162+(2014+3*$D$4-$A162)/((3-1)*$D$4)*BC162</f>
        <v>0</v>
      </c>
      <c r="CF162" s="5">
        <f>($A162-2015)/((3-1)*$D$4)*BC162+(2015+3*$D$4-$A162)/((3-1)*$D$4)*BD162</f>
        <v>0</v>
      </c>
      <c r="CG162" s="5">
        <f>($A162-2016)/((3-1)*$D$4)*BD162+(2016+3*$D$4-$A162)/((3-1)*$D$4)*BE162</f>
        <v>0</v>
      </c>
      <c r="CH162" s="5">
        <f>($A162-2017)/((3-1)*$D$4)*BE162+(2017+3*$D$4-$A162)/((3-1)*$D$4)*BF162</f>
        <v>0</v>
      </c>
      <c r="CI162" s="5">
        <f>($A162-2018)/((3-1)*$D$4)*BF162+(2018+3*$D$4-$A162)/((3-1)*$D$4)*BG162</f>
        <v>0</v>
      </c>
      <c r="CJ162" s="5">
        <f>($A162-2019)/((3-1)*$D$4)*BG162+(2019+3*$D$4-$A162)/((3-1)*$D$4)*BH162</f>
        <v>0</v>
      </c>
      <c r="CK162" s="5">
        <f>($A162-1992)/((4-1)*$D$4)*BI162+(1992+4*$D$4-$A162)/((4-1)*$D$4)*BJ162</f>
        <v>0</v>
      </c>
      <c r="CL162" s="5">
        <f>($A162-1993)/((4-1)*$D$4)*BJ162+(1993+4*$D$4-$A162)/((4-1)*$D$4)*BK162</f>
        <v>0</v>
      </c>
      <c r="CM162" s="5">
        <f>($A162-1994)/((4-1)*$D$4)*BK162+(1994+4*$D$4-$A162)/((4-1)*$D$4)*BL162</f>
        <v>0</v>
      </c>
      <c r="CN162" s="5">
        <f>($A162-1995)/((4-1)*$D$4)*BL162+(1995+4*$D$4-$A162)/((4-1)*$D$4)*BM162</f>
        <v>0</v>
      </c>
      <c r="CO162" s="5">
        <f>($A162-1996)/((4-1)*$D$4)*BM162+(1996+4*$D$4-$A162)/((4-1)*$D$4)*BN162</f>
        <v>0</v>
      </c>
      <c r="CP162" s="5">
        <f>($A162-1997)/((4-1)*$D$4)*BN162+(1997+4*$D$4-$A162)/((4-1)*$D$4)*BO162</f>
        <v>0</v>
      </c>
      <c r="CQ162" s="5">
        <f>($A162-1998)/((4-1)*$D$4)*BO162+(1998+4*$D$4-$A162)/((4-1)*$D$4)*BP162</f>
        <v>0</v>
      </c>
      <c r="CR162" s="5">
        <f>($A162-1999)/((4-1)*$D$4)*BP162+(1999+4*$D$4-$A162)/((4-1)*$D$4)*BQ162</f>
        <v>0</v>
      </c>
      <c r="CS162" s="5">
        <f>($A162-2000)/((4-1)*$D$4)*BQ162+(2000+4*$D$4-$A162)/((4-1)*$D$4)*BR162</f>
        <v>0</v>
      </c>
      <c r="CT162" s="5">
        <f>($A162-2001)/((4-1)*$D$4)*BR162+(2001+4*$D$4-$A162)/((4-1)*$D$4)*BS162</f>
        <v>0</v>
      </c>
      <c r="CU162" s="5">
        <f>($A162-2002)/((4-1)*$D$4)*BS162+(2002+4*$D$4-$A162)/((4-1)*$D$4)*BT162</f>
        <v>0</v>
      </c>
      <c r="CV162" s="5">
        <f>($A162-2003)/((4-1)*$D$4)*BT162+(2003+4*$D$4-$A162)/((4-1)*$D$4)*BU162</f>
        <v>0</v>
      </c>
      <c r="CW162" s="5">
        <f>($A162-2004)/((4-1)*$D$4)*BU162+(2004+4*$D$4-$A162)/((4-1)*$D$4)*BV162</f>
        <v>0.16666666666666666</v>
      </c>
      <c r="CX162" s="5">
        <f>($A162-2005)/((4-1)*$D$4)*BV162+(2005+4*$D$4-$A162)/((4-1)*$D$4)*BW162</f>
        <v>0.66666666666666663</v>
      </c>
      <c r="CY162" s="5">
        <f>($A162-2006)/((4-1)*$D$4)*BW162+(2006+4*$D$4-$A162)/((4-1)*$D$4)*BX162</f>
        <v>0.16666666666666666</v>
      </c>
      <c r="CZ162" s="5">
        <f>($A162-2007)/((4-1)*$D$4)*BX162+(2007+4*$D$4-$A162)/((4-1)*$D$4)*BY162</f>
        <v>0</v>
      </c>
      <c r="DA162" s="5">
        <f>($A162-2008)/((4-1)*$D$4)*BY162+(2008+4*$D$4-$A162)/((4-1)*$D$4)*BZ162</f>
        <v>0</v>
      </c>
      <c r="DB162" s="5">
        <f>($A162-2009)/((4-1)*$D$4)*BZ162+(2009+4*$D$4-$A162)/((4-1)*$D$4)*CA162</f>
        <v>0</v>
      </c>
      <c r="DC162" s="5">
        <f>($A162-2010)/((4-1)*$D$4)*CA162+(2010+4*$D$4-$A162)/((4-1)*$D$4)*CB162</f>
        <v>0</v>
      </c>
      <c r="DD162" s="5">
        <f>($A162-2011)/((4-1)*$D$4)*CB162+(2011+4*$D$4-$A162)/((4-1)*$D$4)*CC162</f>
        <v>0</v>
      </c>
      <c r="DE162" s="5">
        <f>($A162-2012)/((4-1)*$D$4)*CC162+(2012+4*$D$4-$A162)/((4-1)*$D$4)*CD162</f>
        <v>0</v>
      </c>
      <c r="DF162" s="5">
        <f>($A162-2013)/((4-1)*$D$4)*CD162+(2013+4*$D$4-$A162)/((4-1)*$D$4)*CE162</f>
        <v>0</v>
      </c>
      <c r="DG162" s="5">
        <f>($A162-2014)/((4-1)*$D$4)*CE162+(2014+4*$D$4-$A162)/((4-1)*$D$4)*CF162</f>
        <v>0</v>
      </c>
      <c r="DH162" s="5">
        <f>($A162-2015)/((4-1)*$D$4)*CF162+(2015+4*$D$4-$A162)/((4-1)*$D$4)*CG162</f>
        <v>0</v>
      </c>
      <c r="DI162" s="5">
        <f>($A162-2016)/((4-1)*$D$4)*CG162+(2016+4*$D$4-$A162)/((4-1)*$D$4)*CH162</f>
        <v>0</v>
      </c>
      <c r="DJ162" s="5">
        <f>($A162-2017)/((4-1)*$D$4)*CH162+(2017+4*$D$4-$A162)/((4-1)*$D$4)*CI162</f>
        <v>0</v>
      </c>
      <c r="DK162" s="5">
        <f>($A162-2018)/((4-1)*$D$4)*CI162+(2018+4*$D$4-$A162)/((4-1)*$D$4)*CJ162</f>
        <v>0</v>
      </c>
    </row>
    <row r="163">
      <c r="A163" s="3" t="n">
        <v>2008</v>
      </c>
      <c r="B163" s="5">
        <f>IF(AND($A163&gt;=1992,$A163&lt;1993),1,0)</f>
        <v>0</v>
      </c>
      <c r="C163" s="5">
        <f>IF(AND($A163&gt;=1993,$A163&lt;1994),1,0)</f>
        <v>0</v>
      </c>
      <c r="D163" s="5">
        <f>IF(AND($A163&gt;=1994,$A163&lt;1995),1,0)</f>
        <v>0</v>
      </c>
      <c r="E163" s="5">
        <f>IF(AND($A163&gt;=1995,$A163&lt;1996),1,0)</f>
        <v>0</v>
      </c>
      <c r="F163" s="5">
        <f>IF(AND($A163&gt;=1996,$A163&lt;1997),1,0)</f>
        <v>0</v>
      </c>
      <c r="G163" s="5">
        <f>IF(AND($A163&gt;=1997,$A163&lt;1998),1,0)</f>
        <v>0</v>
      </c>
      <c r="H163" s="5">
        <f>IF(AND($A163&gt;=1998,$A163&lt;1999),1,0)</f>
        <v>0</v>
      </c>
      <c r="I163" s="5">
        <f>IF(AND($A163&gt;=1999,$A163&lt;2000),1,0)</f>
        <v>0</v>
      </c>
      <c r="J163" s="5">
        <f>IF(AND($A163&gt;=2000,$A163&lt;2001),1,0)</f>
        <v>0</v>
      </c>
      <c r="K163" s="5">
        <f>IF(AND($A163&gt;=2001,$A163&lt;2002),1,0)</f>
        <v>0</v>
      </c>
      <c r="L163" s="5">
        <f>IF(AND($A163&gt;=2002,$A163&lt;2003),1,0)</f>
        <v>0</v>
      </c>
      <c r="M163" s="5">
        <f>IF(AND($A163&gt;=2003,$A163&lt;2004),1,0)</f>
        <v>0</v>
      </c>
      <c r="N163" s="5">
        <f>IF(AND($A163&gt;=2004,$A163&lt;2005),1,0)</f>
        <v>0</v>
      </c>
      <c r="O163" s="5">
        <f>IF(AND($A163&gt;=2005,$A163&lt;2006),1,0)</f>
        <v>0</v>
      </c>
      <c r="P163" s="5">
        <f>IF(AND($A163&gt;=2006,$A163&lt;2007),1,0)</f>
        <v>0</v>
      </c>
      <c r="Q163" s="5">
        <f>IF(AND($A163&gt;=2007,$A163&lt;2008),1,0)</f>
        <v>0</v>
      </c>
      <c r="R163" s="5">
        <f>IF(AND($A163&gt;=2008,$A163&lt;2009),1,0)</f>
        <v>1</v>
      </c>
      <c r="S163" s="5">
        <f>IF(AND($A163&gt;=2009,$A163&lt;2010),1,0)</f>
        <v>0</v>
      </c>
      <c r="T163" s="5">
        <f>IF(AND($A163&gt;=2010,$A163&lt;2011),1,0)</f>
        <v>0</v>
      </c>
      <c r="U163" s="5">
        <f>IF(AND($A163&gt;=2011,$A163&lt;2012),1,0)</f>
        <v>0</v>
      </c>
      <c r="V163" s="5">
        <f>IF(AND($A163&gt;=2012,$A163&lt;2013),1,0)</f>
        <v>0</v>
      </c>
      <c r="W163" s="5">
        <f>IF(AND($A163&gt;=2013,$A163&lt;2014),1,0)</f>
        <v>0</v>
      </c>
      <c r="X163" s="5">
        <f>IF(AND($A163&gt;=2014,$A163&lt;2015),1,0)</f>
        <v>0</v>
      </c>
      <c r="Y163" s="5">
        <f>IF(AND($A163&gt;=2015,$A163&lt;2016),1,0)</f>
        <v>0</v>
      </c>
      <c r="Z163" s="5">
        <f>IF(AND($A163&gt;=2016,$A163&lt;2017),1,0)</f>
        <v>0</v>
      </c>
      <c r="AA163" s="5">
        <f>IF(AND($A163&gt;=2017,$A163&lt;2018),1,0)</f>
        <v>0</v>
      </c>
      <c r="AB163" s="5">
        <f>IF(AND($A163&gt;=2018,$A163&lt;2019),1,0)</f>
        <v>0</v>
      </c>
      <c r="AC163" s="5">
        <f>IF(AND($A163&gt;=2019,$A163&lt;2020),1,0)</f>
        <v>0</v>
      </c>
      <c r="AD163" s="5">
        <f>IF(AND($A163&gt;=2020,$A163&lt;2021),1,0)</f>
        <v>0</v>
      </c>
      <c r="AE163" s="5">
        <f>IF(AND($A163&gt;=2021,$A163&lt;2022),1,0)</f>
        <v>0</v>
      </c>
      <c r="AF163" s="5">
        <f>($A163-1992)/((2-1)*$D$4)*B163+(1992+2*$D$4-$A163)/((2-1)*$D$4)*C163</f>
        <v>0</v>
      </c>
      <c r="AG163" s="5">
        <f>($A163-1993)/((2-1)*$D$4)*C163+(1993+2*$D$4-$A163)/((2-1)*$D$4)*D163</f>
        <v>0</v>
      </c>
      <c r="AH163" s="5">
        <f>($A163-1994)/((2-1)*$D$4)*D163+(1994+2*$D$4-$A163)/((2-1)*$D$4)*E163</f>
        <v>0</v>
      </c>
      <c r="AI163" s="5">
        <f>($A163-1995)/((2-1)*$D$4)*E163+(1995+2*$D$4-$A163)/((2-1)*$D$4)*F163</f>
        <v>0</v>
      </c>
      <c r="AJ163" s="5">
        <f>($A163-1996)/((2-1)*$D$4)*F163+(1996+2*$D$4-$A163)/((2-1)*$D$4)*G163</f>
        <v>0</v>
      </c>
      <c r="AK163" s="5">
        <f>($A163-1997)/((2-1)*$D$4)*G163+(1997+2*$D$4-$A163)/((2-1)*$D$4)*H163</f>
        <v>0</v>
      </c>
      <c r="AL163" s="5">
        <f>($A163-1998)/((2-1)*$D$4)*H163+(1998+2*$D$4-$A163)/((2-1)*$D$4)*I163</f>
        <v>0</v>
      </c>
      <c r="AM163" s="5">
        <f>($A163-1999)/((2-1)*$D$4)*I163+(1999+2*$D$4-$A163)/((2-1)*$D$4)*J163</f>
        <v>0</v>
      </c>
      <c r="AN163" s="5">
        <f>($A163-2000)/((2-1)*$D$4)*J163+(2000+2*$D$4-$A163)/((2-1)*$D$4)*K163</f>
        <v>0</v>
      </c>
      <c r="AO163" s="5">
        <f>($A163-2001)/((2-1)*$D$4)*K163+(2001+2*$D$4-$A163)/((2-1)*$D$4)*L163</f>
        <v>0</v>
      </c>
      <c r="AP163" s="5">
        <f>($A163-2002)/((2-1)*$D$4)*L163+(2002+2*$D$4-$A163)/((2-1)*$D$4)*M163</f>
        <v>0</v>
      </c>
      <c r="AQ163" s="5">
        <f>($A163-2003)/((2-1)*$D$4)*M163+(2003+2*$D$4-$A163)/((2-1)*$D$4)*N163</f>
        <v>0</v>
      </c>
      <c r="AR163" s="5">
        <f>($A163-2004)/((2-1)*$D$4)*N163+(2004+2*$D$4-$A163)/((2-1)*$D$4)*O163</f>
        <v>0</v>
      </c>
      <c r="AS163" s="5">
        <f>($A163-2005)/((2-1)*$D$4)*O163+(2005+2*$D$4-$A163)/((2-1)*$D$4)*P163</f>
        <v>0</v>
      </c>
      <c r="AT163" s="5">
        <f>($A163-2006)/((2-1)*$D$4)*P163+(2006+2*$D$4-$A163)/((2-1)*$D$4)*Q163</f>
        <v>0</v>
      </c>
      <c r="AU163" s="5">
        <f>($A163-2007)/((2-1)*$D$4)*Q163+(2007+2*$D$4-$A163)/((2-1)*$D$4)*R163</f>
        <v>1</v>
      </c>
      <c r="AV163" s="5">
        <f>($A163-2008)/((2-1)*$D$4)*R163+(2008+2*$D$4-$A163)/((2-1)*$D$4)*S163</f>
        <v>0</v>
      </c>
      <c r="AW163" s="5">
        <f>($A163-2009)/((2-1)*$D$4)*S163+(2009+2*$D$4-$A163)/((2-1)*$D$4)*T163</f>
        <v>0</v>
      </c>
      <c r="AX163" s="5">
        <f>($A163-2010)/((2-1)*$D$4)*T163+(2010+2*$D$4-$A163)/((2-1)*$D$4)*U163</f>
        <v>0</v>
      </c>
      <c r="AY163" s="5">
        <f>($A163-2011)/((2-1)*$D$4)*U163+(2011+2*$D$4-$A163)/((2-1)*$D$4)*V163</f>
        <v>0</v>
      </c>
      <c r="AZ163" s="5">
        <f>($A163-2012)/((2-1)*$D$4)*V163+(2012+2*$D$4-$A163)/((2-1)*$D$4)*W163</f>
        <v>0</v>
      </c>
      <c r="BA163" s="5">
        <f>($A163-2013)/((2-1)*$D$4)*W163+(2013+2*$D$4-$A163)/((2-1)*$D$4)*X163</f>
        <v>0</v>
      </c>
      <c r="BB163" s="5">
        <f>($A163-2014)/((2-1)*$D$4)*X163+(2014+2*$D$4-$A163)/((2-1)*$D$4)*Y163</f>
        <v>0</v>
      </c>
      <c r="BC163" s="5">
        <f>($A163-2015)/((2-1)*$D$4)*Y163+(2015+2*$D$4-$A163)/((2-1)*$D$4)*Z163</f>
        <v>0</v>
      </c>
      <c r="BD163" s="5">
        <f>($A163-2016)/((2-1)*$D$4)*Z163+(2016+2*$D$4-$A163)/((2-1)*$D$4)*AA163</f>
        <v>0</v>
      </c>
      <c r="BE163" s="5">
        <f>($A163-2017)/((2-1)*$D$4)*AA163+(2017+2*$D$4-$A163)/((2-1)*$D$4)*AB163</f>
        <v>0</v>
      </c>
      <c r="BF163" s="5">
        <f>($A163-2018)/((2-1)*$D$4)*AB163+(2018+2*$D$4-$A163)/((2-1)*$D$4)*AC163</f>
        <v>0</v>
      </c>
      <c r="BG163" s="5">
        <f>($A163-2019)/((2-1)*$D$4)*AC163+(2019+2*$D$4-$A163)/((2-1)*$D$4)*AD163</f>
        <v>0</v>
      </c>
      <c r="BH163" s="5">
        <f>($A163-2020)/((2-1)*$D$4)*AD163+(2020+2*$D$4-$A163)/((2-1)*$D$4)*AE163</f>
        <v>0</v>
      </c>
      <c r="BI163" s="5">
        <f>($A163-1992)/((3-1)*$D$4)*AF163+(1992+3*$D$4-$A163)/((3-1)*$D$4)*AG163</f>
        <v>0</v>
      </c>
      <c r="BJ163" s="5">
        <f>($A163-1993)/((3-1)*$D$4)*AG163+(1993+3*$D$4-$A163)/((3-1)*$D$4)*AH163</f>
        <v>0</v>
      </c>
      <c r="BK163" s="5">
        <f>($A163-1994)/((3-1)*$D$4)*AH163+(1994+3*$D$4-$A163)/((3-1)*$D$4)*AI163</f>
        <v>0</v>
      </c>
      <c r="BL163" s="5">
        <f>($A163-1995)/((3-1)*$D$4)*AI163+(1995+3*$D$4-$A163)/((3-1)*$D$4)*AJ163</f>
        <v>0</v>
      </c>
      <c r="BM163" s="5">
        <f>($A163-1996)/((3-1)*$D$4)*AJ163+(1996+3*$D$4-$A163)/((3-1)*$D$4)*AK163</f>
        <v>0</v>
      </c>
      <c r="BN163" s="5">
        <f>($A163-1997)/((3-1)*$D$4)*AK163+(1997+3*$D$4-$A163)/((3-1)*$D$4)*AL163</f>
        <v>0</v>
      </c>
      <c r="BO163" s="5">
        <f>($A163-1998)/((3-1)*$D$4)*AL163+(1998+3*$D$4-$A163)/((3-1)*$D$4)*AM163</f>
        <v>0</v>
      </c>
      <c r="BP163" s="5">
        <f>($A163-1999)/((3-1)*$D$4)*AM163+(1999+3*$D$4-$A163)/((3-1)*$D$4)*AN163</f>
        <v>0</v>
      </c>
      <c r="BQ163" s="5">
        <f>($A163-2000)/((3-1)*$D$4)*AN163+(2000+3*$D$4-$A163)/((3-1)*$D$4)*AO163</f>
        <v>0</v>
      </c>
      <c r="BR163" s="5">
        <f>($A163-2001)/((3-1)*$D$4)*AO163+(2001+3*$D$4-$A163)/((3-1)*$D$4)*AP163</f>
        <v>0</v>
      </c>
      <c r="BS163" s="5">
        <f>($A163-2002)/((3-1)*$D$4)*AP163+(2002+3*$D$4-$A163)/((3-1)*$D$4)*AQ163</f>
        <v>0</v>
      </c>
      <c r="BT163" s="5">
        <f>($A163-2003)/((3-1)*$D$4)*AQ163+(2003+3*$D$4-$A163)/((3-1)*$D$4)*AR163</f>
        <v>0</v>
      </c>
      <c r="BU163" s="5">
        <f>($A163-2004)/((3-1)*$D$4)*AR163+(2004+3*$D$4-$A163)/((3-1)*$D$4)*AS163</f>
        <v>0</v>
      </c>
      <c r="BV163" s="5">
        <f>($A163-2005)/((3-1)*$D$4)*AS163+(2005+3*$D$4-$A163)/((3-1)*$D$4)*AT163</f>
        <v>0</v>
      </c>
      <c r="BW163" s="5">
        <f>($A163-2006)/((3-1)*$D$4)*AT163+(2006+3*$D$4-$A163)/((3-1)*$D$4)*AU163</f>
        <v>0.5</v>
      </c>
      <c r="BX163" s="5">
        <f>($A163-2007)/((3-1)*$D$4)*AU163+(2007+3*$D$4-$A163)/((3-1)*$D$4)*AV163</f>
        <v>0.5</v>
      </c>
      <c r="BY163" s="5">
        <f>($A163-2008)/((3-1)*$D$4)*AV163+(2008+3*$D$4-$A163)/((3-1)*$D$4)*AW163</f>
        <v>0</v>
      </c>
      <c r="BZ163" s="5">
        <f>($A163-2009)/((3-1)*$D$4)*AW163+(2009+3*$D$4-$A163)/((3-1)*$D$4)*AX163</f>
        <v>0</v>
      </c>
      <c r="CA163" s="5">
        <f>($A163-2010)/((3-1)*$D$4)*AX163+(2010+3*$D$4-$A163)/((3-1)*$D$4)*AY163</f>
        <v>0</v>
      </c>
      <c r="CB163" s="5">
        <f>($A163-2011)/((3-1)*$D$4)*AY163+(2011+3*$D$4-$A163)/((3-1)*$D$4)*AZ163</f>
        <v>0</v>
      </c>
      <c r="CC163" s="5">
        <f>($A163-2012)/((3-1)*$D$4)*AZ163+(2012+3*$D$4-$A163)/((3-1)*$D$4)*BA163</f>
        <v>0</v>
      </c>
      <c r="CD163" s="5">
        <f>($A163-2013)/((3-1)*$D$4)*BA163+(2013+3*$D$4-$A163)/((3-1)*$D$4)*BB163</f>
        <v>0</v>
      </c>
      <c r="CE163" s="5">
        <f>($A163-2014)/((3-1)*$D$4)*BB163+(2014+3*$D$4-$A163)/((3-1)*$D$4)*BC163</f>
        <v>0</v>
      </c>
      <c r="CF163" s="5">
        <f>($A163-2015)/((3-1)*$D$4)*BC163+(2015+3*$D$4-$A163)/((3-1)*$D$4)*BD163</f>
        <v>0</v>
      </c>
      <c r="CG163" s="5">
        <f>($A163-2016)/((3-1)*$D$4)*BD163+(2016+3*$D$4-$A163)/((3-1)*$D$4)*BE163</f>
        <v>0</v>
      </c>
      <c r="CH163" s="5">
        <f>($A163-2017)/((3-1)*$D$4)*BE163+(2017+3*$D$4-$A163)/((3-1)*$D$4)*BF163</f>
        <v>0</v>
      </c>
      <c r="CI163" s="5">
        <f>($A163-2018)/((3-1)*$D$4)*BF163+(2018+3*$D$4-$A163)/((3-1)*$D$4)*BG163</f>
        <v>0</v>
      </c>
      <c r="CJ163" s="5">
        <f>($A163-2019)/((3-1)*$D$4)*BG163+(2019+3*$D$4-$A163)/((3-1)*$D$4)*BH163</f>
        <v>0</v>
      </c>
      <c r="CK163" s="5">
        <f>($A163-1992)/((4-1)*$D$4)*BI163+(1992+4*$D$4-$A163)/((4-1)*$D$4)*BJ163</f>
        <v>0</v>
      </c>
      <c r="CL163" s="5">
        <f>($A163-1993)/((4-1)*$D$4)*BJ163+(1993+4*$D$4-$A163)/((4-1)*$D$4)*BK163</f>
        <v>0</v>
      </c>
      <c r="CM163" s="5">
        <f>($A163-1994)/((4-1)*$D$4)*BK163+(1994+4*$D$4-$A163)/((4-1)*$D$4)*BL163</f>
        <v>0</v>
      </c>
      <c r="CN163" s="5">
        <f>($A163-1995)/((4-1)*$D$4)*BL163+(1995+4*$D$4-$A163)/((4-1)*$D$4)*BM163</f>
        <v>0</v>
      </c>
      <c r="CO163" s="5">
        <f>($A163-1996)/((4-1)*$D$4)*BM163+(1996+4*$D$4-$A163)/((4-1)*$D$4)*BN163</f>
        <v>0</v>
      </c>
      <c r="CP163" s="5">
        <f>($A163-1997)/((4-1)*$D$4)*BN163+(1997+4*$D$4-$A163)/((4-1)*$D$4)*BO163</f>
        <v>0</v>
      </c>
      <c r="CQ163" s="5">
        <f>($A163-1998)/((4-1)*$D$4)*BO163+(1998+4*$D$4-$A163)/((4-1)*$D$4)*BP163</f>
        <v>0</v>
      </c>
      <c r="CR163" s="5">
        <f>($A163-1999)/((4-1)*$D$4)*BP163+(1999+4*$D$4-$A163)/((4-1)*$D$4)*BQ163</f>
        <v>0</v>
      </c>
      <c r="CS163" s="5">
        <f>($A163-2000)/((4-1)*$D$4)*BQ163+(2000+4*$D$4-$A163)/((4-1)*$D$4)*BR163</f>
        <v>0</v>
      </c>
      <c r="CT163" s="5">
        <f>($A163-2001)/((4-1)*$D$4)*BR163+(2001+4*$D$4-$A163)/((4-1)*$D$4)*BS163</f>
        <v>0</v>
      </c>
      <c r="CU163" s="5">
        <f>($A163-2002)/((4-1)*$D$4)*BS163+(2002+4*$D$4-$A163)/((4-1)*$D$4)*BT163</f>
        <v>0</v>
      </c>
      <c r="CV163" s="5">
        <f>($A163-2003)/((4-1)*$D$4)*BT163+(2003+4*$D$4-$A163)/((4-1)*$D$4)*BU163</f>
        <v>0</v>
      </c>
      <c r="CW163" s="5">
        <f>($A163-2004)/((4-1)*$D$4)*BU163+(2004+4*$D$4-$A163)/((4-1)*$D$4)*BV163</f>
        <v>0</v>
      </c>
      <c r="CX163" s="5">
        <f>($A163-2005)/((4-1)*$D$4)*BV163+(2005+4*$D$4-$A163)/((4-1)*$D$4)*BW163</f>
        <v>0.16666666666666666</v>
      </c>
      <c r="CY163" s="5">
        <f>($A163-2006)/((4-1)*$D$4)*BW163+(2006+4*$D$4-$A163)/((4-1)*$D$4)*BX163</f>
        <v>0.66666666666666663</v>
      </c>
      <c r="CZ163" s="5">
        <f>($A163-2007)/((4-1)*$D$4)*BX163+(2007+4*$D$4-$A163)/((4-1)*$D$4)*BY163</f>
        <v>0.16666666666666666</v>
      </c>
      <c r="DA163" s="5">
        <f>($A163-2008)/((4-1)*$D$4)*BY163+(2008+4*$D$4-$A163)/((4-1)*$D$4)*BZ163</f>
        <v>0</v>
      </c>
      <c r="DB163" s="5">
        <f>($A163-2009)/((4-1)*$D$4)*BZ163+(2009+4*$D$4-$A163)/((4-1)*$D$4)*CA163</f>
        <v>0</v>
      </c>
      <c r="DC163" s="5">
        <f>($A163-2010)/((4-1)*$D$4)*CA163+(2010+4*$D$4-$A163)/((4-1)*$D$4)*CB163</f>
        <v>0</v>
      </c>
      <c r="DD163" s="5">
        <f>($A163-2011)/((4-1)*$D$4)*CB163+(2011+4*$D$4-$A163)/((4-1)*$D$4)*CC163</f>
        <v>0</v>
      </c>
      <c r="DE163" s="5">
        <f>($A163-2012)/((4-1)*$D$4)*CC163+(2012+4*$D$4-$A163)/((4-1)*$D$4)*CD163</f>
        <v>0</v>
      </c>
      <c r="DF163" s="5">
        <f>($A163-2013)/((4-1)*$D$4)*CD163+(2013+4*$D$4-$A163)/((4-1)*$D$4)*CE163</f>
        <v>0</v>
      </c>
      <c r="DG163" s="5">
        <f>($A163-2014)/((4-1)*$D$4)*CE163+(2014+4*$D$4-$A163)/((4-1)*$D$4)*CF163</f>
        <v>0</v>
      </c>
      <c r="DH163" s="5">
        <f>($A163-2015)/((4-1)*$D$4)*CF163+(2015+4*$D$4-$A163)/((4-1)*$D$4)*CG163</f>
        <v>0</v>
      </c>
      <c r="DI163" s="5">
        <f>($A163-2016)/((4-1)*$D$4)*CG163+(2016+4*$D$4-$A163)/((4-1)*$D$4)*CH163</f>
        <v>0</v>
      </c>
      <c r="DJ163" s="5">
        <f>($A163-2017)/((4-1)*$D$4)*CH163+(2017+4*$D$4-$A163)/((4-1)*$D$4)*CI163</f>
        <v>0</v>
      </c>
      <c r="DK163" s="5">
        <f>($A163-2018)/((4-1)*$D$4)*CI163+(2018+4*$D$4-$A163)/((4-1)*$D$4)*CJ163</f>
        <v>0</v>
      </c>
    </row>
    <row r="164">
      <c r="A164" s="3" t="n">
        <v>2009</v>
      </c>
      <c r="B164" s="5">
        <f>IF(AND($A164&gt;=1992,$A164&lt;1993),1,0)</f>
        <v>0</v>
      </c>
      <c r="C164" s="5">
        <f>IF(AND($A164&gt;=1993,$A164&lt;1994),1,0)</f>
        <v>0</v>
      </c>
      <c r="D164" s="5">
        <f>IF(AND($A164&gt;=1994,$A164&lt;1995),1,0)</f>
        <v>0</v>
      </c>
      <c r="E164" s="5">
        <f>IF(AND($A164&gt;=1995,$A164&lt;1996),1,0)</f>
        <v>0</v>
      </c>
      <c r="F164" s="5">
        <f>IF(AND($A164&gt;=1996,$A164&lt;1997),1,0)</f>
        <v>0</v>
      </c>
      <c r="G164" s="5">
        <f>IF(AND($A164&gt;=1997,$A164&lt;1998),1,0)</f>
        <v>0</v>
      </c>
      <c r="H164" s="5">
        <f>IF(AND($A164&gt;=1998,$A164&lt;1999),1,0)</f>
        <v>0</v>
      </c>
      <c r="I164" s="5">
        <f>IF(AND($A164&gt;=1999,$A164&lt;2000),1,0)</f>
        <v>0</v>
      </c>
      <c r="J164" s="5">
        <f>IF(AND($A164&gt;=2000,$A164&lt;2001),1,0)</f>
        <v>0</v>
      </c>
      <c r="K164" s="5">
        <f>IF(AND($A164&gt;=2001,$A164&lt;2002),1,0)</f>
        <v>0</v>
      </c>
      <c r="L164" s="5">
        <f>IF(AND($A164&gt;=2002,$A164&lt;2003),1,0)</f>
        <v>0</v>
      </c>
      <c r="M164" s="5">
        <f>IF(AND($A164&gt;=2003,$A164&lt;2004),1,0)</f>
        <v>0</v>
      </c>
      <c r="N164" s="5">
        <f>IF(AND($A164&gt;=2004,$A164&lt;2005),1,0)</f>
        <v>0</v>
      </c>
      <c r="O164" s="5">
        <f>IF(AND($A164&gt;=2005,$A164&lt;2006),1,0)</f>
        <v>0</v>
      </c>
      <c r="P164" s="5">
        <f>IF(AND($A164&gt;=2006,$A164&lt;2007),1,0)</f>
        <v>0</v>
      </c>
      <c r="Q164" s="5">
        <f>IF(AND($A164&gt;=2007,$A164&lt;2008),1,0)</f>
        <v>0</v>
      </c>
      <c r="R164" s="5">
        <f>IF(AND($A164&gt;=2008,$A164&lt;2009),1,0)</f>
        <v>0</v>
      </c>
      <c r="S164" s="5">
        <f>IF(AND($A164&gt;=2009,$A164&lt;2010),1,0)</f>
        <v>1</v>
      </c>
      <c r="T164" s="5">
        <f>IF(AND($A164&gt;=2010,$A164&lt;2011),1,0)</f>
        <v>0</v>
      </c>
      <c r="U164" s="5">
        <f>IF(AND($A164&gt;=2011,$A164&lt;2012),1,0)</f>
        <v>0</v>
      </c>
      <c r="V164" s="5">
        <f>IF(AND($A164&gt;=2012,$A164&lt;2013),1,0)</f>
        <v>0</v>
      </c>
      <c r="W164" s="5">
        <f>IF(AND($A164&gt;=2013,$A164&lt;2014),1,0)</f>
        <v>0</v>
      </c>
      <c r="X164" s="5">
        <f>IF(AND($A164&gt;=2014,$A164&lt;2015),1,0)</f>
        <v>0</v>
      </c>
      <c r="Y164" s="5">
        <f>IF(AND($A164&gt;=2015,$A164&lt;2016),1,0)</f>
        <v>0</v>
      </c>
      <c r="Z164" s="5">
        <f>IF(AND($A164&gt;=2016,$A164&lt;2017),1,0)</f>
        <v>0</v>
      </c>
      <c r="AA164" s="5">
        <f>IF(AND($A164&gt;=2017,$A164&lt;2018),1,0)</f>
        <v>0</v>
      </c>
      <c r="AB164" s="5">
        <f>IF(AND($A164&gt;=2018,$A164&lt;2019),1,0)</f>
        <v>0</v>
      </c>
      <c r="AC164" s="5">
        <f>IF(AND($A164&gt;=2019,$A164&lt;2020),1,0)</f>
        <v>0</v>
      </c>
      <c r="AD164" s="5">
        <f>IF(AND($A164&gt;=2020,$A164&lt;2021),1,0)</f>
        <v>0</v>
      </c>
      <c r="AE164" s="5">
        <f>IF(AND($A164&gt;=2021,$A164&lt;2022),1,0)</f>
        <v>0</v>
      </c>
      <c r="AF164" s="5">
        <f>($A164-1992)/((2-1)*$D$4)*B164+(1992+2*$D$4-$A164)/((2-1)*$D$4)*C164</f>
        <v>0</v>
      </c>
      <c r="AG164" s="5">
        <f>($A164-1993)/((2-1)*$D$4)*C164+(1993+2*$D$4-$A164)/((2-1)*$D$4)*D164</f>
        <v>0</v>
      </c>
      <c r="AH164" s="5">
        <f>($A164-1994)/((2-1)*$D$4)*D164+(1994+2*$D$4-$A164)/((2-1)*$D$4)*E164</f>
        <v>0</v>
      </c>
      <c r="AI164" s="5">
        <f>($A164-1995)/((2-1)*$D$4)*E164+(1995+2*$D$4-$A164)/((2-1)*$D$4)*F164</f>
        <v>0</v>
      </c>
      <c r="AJ164" s="5">
        <f>($A164-1996)/((2-1)*$D$4)*F164+(1996+2*$D$4-$A164)/((2-1)*$D$4)*G164</f>
        <v>0</v>
      </c>
      <c r="AK164" s="5">
        <f>($A164-1997)/((2-1)*$D$4)*G164+(1997+2*$D$4-$A164)/((2-1)*$D$4)*H164</f>
        <v>0</v>
      </c>
      <c r="AL164" s="5">
        <f>($A164-1998)/((2-1)*$D$4)*H164+(1998+2*$D$4-$A164)/((2-1)*$D$4)*I164</f>
        <v>0</v>
      </c>
      <c r="AM164" s="5">
        <f>($A164-1999)/((2-1)*$D$4)*I164+(1999+2*$D$4-$A164)/((2-1)*$D$4)*J164</f>
        <v>0</v>
      </c>
      <c r="AN164" s="5">
        <f>($A164-2000)/((2-1)*$D$4)*J164+(2000+2*$D$4-$A164)/((2-1)*$D$4)*K164</f>
        <v>0</v>
      </c>
      <c r="AO164" s="5">
        <f>($A164-2001)/((2-1)*$D$4)*K164+(2001+2*$D$4-$A164)/((2-1)*$D$4)*L164</f>
        <v>0</v>
      </c>
      <c r="AP164" s="5">
        <f>($A164-2002)/((2-1)*$D$4)*L164+(2002+2*$D$4-$A164)/((2-1)*$D$4)*M164</f>
        <v>0</v>
      </c>
      <c r="AQ164" s="5">
        <f>($A164-2003)/((2-1)*$D$4)*M164+(2003+2*$D$4-$A164)/((2-1)*$D$4)*N164</f>
        <v>0</v>
      </c>
      <c r="AR164" s="5">
        <f>($A164-2004)/((2-1)*$D$4)*N164+(2004+2*$D$4-$A164)/((2-1)*$D$4)*O164</f>
        <v>0</v>
      </c>
      <c r="AS164" s="5">
        <f>($A164-2005)/((2-1)*$D$4)*O164+(2005+2*$D$4-$A164)/((2-1)*$D$4)*P164</f>
        <v>0</v>
      </c>
      <c r="AT164" s="5">
        <f>($A164-2006)/((2-1)*$D$4)*P164+(2006+2*$D$4-$A164)/((2-1)*$D$4)*Q164</f>
        <v>0</v>
      </c>
      <c r="AU164" s="5">
        <f>($A164-2007)/((2-1)*$D$4)*Q164+(2007+2*$D$4-$A164)/((2-1)*$D$4)*R164</f>
        <v>0</v>
      </c>
      <c r="AV164" s="5">
        <f>($A164-2008)/((2-1)*$D$4)*R164+(2008+2*$D$4-$A164)/((2-1)*$D$4)*S164</f>
        <v>1</v>
      </c>
      <c r="AW164" s="5">
        <f>($A164-2009)/((2-1)*$D$4)*S164+(2009+2*$D$4-$A164)/((2-1)*$D$4)*T164</f>
        <v>0</v>
      </c>
      <c r="AX164" s="5">
        <f>($A164-2010)/((2-1)*$D$4)*T164+(2010+2*$D$4-$A164)/((2-1)*$D$4)*U164</f>
        <v>0</v>
      </c>
      <c r="AY164" s="5">
        <f>($A164-2011)/((2-1)*$D$4)*U164+(2011+2*$D$4-$A164)/((2-1)*$D$4)*V164</f>
        <v>0</v>
      </c>
      <c r="AZ164" s="5">
        <f>($A164-2012)/((2-1)*$D$4)*V164+(2012+2*$D$4-$A164)/((2-1)*$D$4)*W164</f>
        <v>0</v>
      </c>
      <c r="BA164" s="5">
        <f>($A164-2013)/((2-1)*$D$4)*W164+(2013+2*$D$4-$A164)/((2-1)*$D$4)*X164</f>
        <v>0</v>
      </c>
      <c r="BB164" s="5">
        <f>($A164-2014)/((2-1)*$D$4)*X164+(2014+2*$D$4-$A164)/((2-1)*$D$4)*Y164</f>
        <v>0</v>
      </c>
      <c r="BC164" s="5">
        <f>($A164-2015)/((2-1)*$D$4)*Y164+(2015+2*$D$4-$A164)/((2-1)*$D$4)*Z164</f>
        <v>0</v>
      </c>
      <c r="BD164" s="5">
        <f>($A164-2016)/((2-1)*$D$4)*Z164+(2016+2*$D$4-$A164)/((2-1)*$D$4)*AA164</f>
        <v>0</v>
      </c>
      <c r="BE164" s="5">
        <f>($A164-2017)/((2-1)*$D$4)*AA164+(2017+2*$D$4-$A164)/((2-1)*$D$4)*AB164</f>
        <v>0</v>
      </c>
      <c r="BF164" s="5">
        <f>($A164-2018)/((2-1)*$D$4)*AB164+(2018+2*$D$4-$A164)/((2-1)*$D$4)*AC164</f>
        <v>0</v>
      </c>
      <c r="BG164" s="5">
        <f>($A164-2019)/((2-1)*$D$4)*AC164+(2019+2*$D$4-$A164)/((2-1)*$D$4)*AD164</f>
        <v>0</v>
      </c>
      <c r="BH164" s="5">
        <f>($A164-2020)/((2-1)*$D$4)*AD164+(2020+2*$D$4-$A164)/((2-1)*$D$4)*AE164</f>
        <v>0</v>
      </c>
      <c r="BI164" s="5">
        <f>($A164-1992)/((3-1)*$D$4)*AF164+(1992+3*$D$4-$A164)/((3-1)*$D$4)*AG164</f>
        <v>0</v>
      </c>
      <c r="BJ164" s="5">
        <f>($A164-1993)/((3-1)*$D$4)*AG164+(1993+3*$D$4-$A164)/((3-1)*$D$4)*AH164</f>
        <v>0</v>
      </c>
      <c r="BK164" s="5">
        <f>($A164-1994)/((3-1)*$D$4)*AH164+(1994+3*$D$4-$A164)/((3-1)*$D$4)*AI164</f>
        <v>0</v>
      </c>
      <c r="BL164" s="5">
        <f>($A164-1995)/((3-1)*$D$4)*AI164+(1995+3*$D$4-$A164)/((3-1)*$D$4)*AJ164</f>
        <v>0</v>
      </c>
      <c r="BM164" s="5">
        <f>($A164-1996)/((3-1)*$D$4)*AJ164+(1996+3*$D$4-$A164)/((3-1)*$D$4)*AK164</f>
        <v>0</v>
      </c>
      <c r="BN164" s="5">
        <f>($A164-1997)/((3-1)*$D$4)*AK164+(1997+3*$D$4-$A164)/((3-1)*$D$4)*AL164</f>
        <v>0</v>
      </c>
      <c r="BO164" s="5">
        <f>($A164-1998)/((3-1)*$D$4)*AL164+(1998+3*$D$4-$A164)/((3-1)*$D$4)*AM164</f>
        <v>0</v>
      </c>
      <c r="BP164" s="5">
        <f>($A164-1999)/((3-1)*$D$4)*AM164+(1999+3*$D$4-$A164)/((3-1)*$D$4)*AN164</f>
        <v>0</v>
      </c>
      <c r="BQ164" s="5">
        <f>($A164-2000)/((3-1)*$D$4)*AN164+(2000+3*$D$4-$A164)/((3-1)*$D$4)*AO164</f>
        <v>0</v>
      </c>
      <c r="BR164" s="5">
        <f>($A164-2001)/((3-1)*$D$4)*AO164+(2001+3*$D$4-$A164)/((3-1)*$D$4)*AP164</f>
        <v>0</v>
      </c>
      <c r="BS164" s="5">
        <f>($A164-2002)/((3-1)*$D$4)*AP164+(2002+3*$D$4-$A164)/((3-1)*$D$4)*AQ164</f>
        <v>0</v>
      </c>
      <c r="BT164" s="5">
        <f>($A164-2003)/((3-1)*$D$4)*AQ164+(2003+3*$D$4-$A164)/((3-1)*$D$4)*AR164</f>
        <v>0</v>
      </c>
      <c r="BU164" s="5">
        <f>($A164-2004)/((3-1)*$D$4)*AR164+(2004+3*$D$4-$A164)/((3-1)*$D$4)*AS164</f>
        <v>0</v>
      </c>
      <c r="BV164" s="5">
        <f>($A164-2005)/((3-1)*$D$4)*AS164+(2005+3*$D$4-$A164)/((3-1)*$D$4)*AT164</f>
        <v>0</v>
      </c>
      <c r="BW164" s="5">
        <f>($A164-2006)/((3-1)*$D$4)*AT164+(2006+3*$D$4-$A164)/((3-1)*$D$4)*AU164</f>
        <v>0</v>
      </c>
      <c r="BX164" s="5">
        <f>($A164-2007)/((3-1)*$D$4)*AU164+(2007+3*$D$4-$A164)/((3-1)*$D$4)*AV164</f>
        <v>0.5</v>
      </c>
      <c r="BY164" s="5">
        <f>($A164-2008)/((3-1)*$D$4)*AV164+(2008+3*$D$4-$A164)/((3-1)*$D$4)*AW164</f>
        <v>0.5</v>
      </c>
      <c r="BZ164" s="5">
        <f>($A164-2009)/((3-1)*$D$4)*AW164+(2009+3*$D$4-$A164)/((3-1)*$D$4)*AX164</f>
        <v>0</v>
      </c>
      <c r="CA164" s="5">
        <f>($A164-2010)/((3-1)*$D$4)*AX164+(2010+3*$D$4-$A164)/((3-1)*$D$4)*AY164</f>
        <v>0</v>
      </c>
      <c r="CB164" s="5">
        <f>($A164-2011)/((3-1)*$D$4)*AY164+(2011+3*$D$4-$A164)/((3-1)*$D$4)*AZ164</f>
        <v>0</v>
      </c>
      <c r="CC164" s="5">
        <f>($A164-2012)/((3-1)*$D$4)*AZ164+(2012+3*$D$4-$A164)/((3-1)*$D$4)*BA164</f>
        <v>0</v>
      </c>
      <c r="CD164" s="5">
        <f>($A164-2013)/((3-1)*$D$4)*BA164+(2013+3*$D$4-$A164)/((3-1)*$D$4)*BB164</f>
        <v>0</v>
      </c>
      <c r="CE164" s="5">
        <f>($A164-2014)/((3-1)*$D$4)*BB164+(2014+3*$D$4-$A164)/((3-1)*$D$4)*BC164</f>
        <v>0</v>
      </c>
      <c r="CF164" s="5">
        <f>($A164-2015)/((3-1)*$D$4)*BC164+(2015+3*$D$4-$A164)/((3-1)*$D$4)*BD164</f>
        <v>0</v>
      </c>
      <c r="CG164" s="5">
        <f>($A164-2016)/((3-1)*$D$4)*BD164+(2016+3*$D$4-$A164)/((3-1)*$D$4)*BE164</f>
        <v>0</v>
      </c>
      <c r="CH164" s="5">
        <f>($A164-2017)/((3-1)*$D$4)*BE164+(2017+3*$D$4-$A164)/((3-1)*$D$4)*BF164</f>
        <v>0</v>
      </c>
      <c r="CI164" s="5">
        <f>($A164-2018)/((3-1)*$D$4)*BF164+(2018+3*$D$4-$A164)/((3-1)*$D$4)*BG164</f>
        <v>0</v>
      </c>
      <c r="CJ164" s="5">
        <f>($A164-2019)/((3-1)*$D$4)*BG164+(2019+3*$D$4-$A164)/((3-1)*$D$4)*BH164</f>
        <v>0</v>
      </c>
      <c r="CK164" s="5">
        <f>($A164-1992)/((4-1)*$D$4)*BI164+(1992+4*$D$4-$A164)/((4-1)*$D$4)*BJ164</f>
        <v>0</v>
      </c>
      <c r="CL164" s="5">
        <f>($A164-1993)/((4-1)*$D$4)*BJ164+(1993+4*$D$4-$A164)/((4-1)*$D$4)*BK164</f>
        <v>0</v>
      </c>
      <c r="CM164" s="5">
        <f>($A164-1994)/((4-1)*$D$4)*BK164+(1994+4*$D$4-$A164)/((4-1)*$D$4)*BL164</f>
        <v>0</v>
      </c>
      <c r="CN164" s="5">
        <f>($A164-1995)/((4-1)*$D$4)*BL164+(1995+4*$D$4-$A164)/((4-1)*$D$4)*BM164</f>
        <v>0</v>
      </c>
      <c r="CO164" s="5">
        <f>($A164-1996)/((4-1)*$D$4)*BM164+(1996+4*$D$4-$A164)/((4-1)*$D$4)*BN164</f>
        <v>0</v>
      </c>
      <c r="CP164" s="5">
        <f>($A164-1997)/((4-1)*$D$4)*BN164+(1997+4*$D$4-$A164)/((4-1)*$D$4)*BO164</f>
        <v>0</v>
      </c>
      <c r="CQ164" s="5">
        <f>($A164-1998)/((4-1)*$D$4)*BO164+(1998+4*$D$4-$A164)/((4-1)*$D$4)*BP164</f>
        <v>0</v>
      </c>
      <c r="CR164" s="5">
        <f>($A164-1999)/((4-1)*$D$4)*BP164+(1999+4*$D$4-$A164)/((4-1)*$D$4)*BQ164</f>
        <v>0</v>
      </c>
      <c r="CS164" s="5">
        <f>($A164-2000)/((4-1)*$D$4)*BQ164+(2000+4*$D$4-$A164)/((4-1)*$D$4)*BR164</f>
        <v>0</v>
      </c>
      <c r="CT164" s="5">
        <f>($A164-2001)/((4-1)*$D$4)*BR164+(2001+4*$D$4-$A164)/((4-1)*$D$4)*BS164</f>
        <v>0</v>
      </c>
      <c r="CU164" s="5">
        <f>($A164-2002)/((4-1)*$D$4)*BS164+(2002+4*$D$4-$A164)/((4-1)*$D$4)*BT164</f>
        <v>0</v>
      </c>
      <c r="CV164" s="5">
        <f>($A164-2003)/((4-1)*$D$4)*BT164+(2003+4*$D$4-$A164)/((4-1)*$D$4)*BU164</f>
        <v>0</v>
      </c>
      <c r="CW164" s="5">
        <f>($A164-2004)/((4-1)*$D$4)*BU164+(2004+4*$D$4-$A164)/((4-1)*$D$4)*BV164</f>
        <v>0</v>
      </c>
      <c r="CX164" s="5">
        <f>($A164-2005)/((4-1)*$D$4)*BV164+(2005+4*$D$4-$A164)/((4-1)*$D$4)*BW164</f>
        <v>0</v>
      </c>
      <c r="CY164" s="5">
        <f>($A164-2006)/((4-1)*$D$4)*BW164+(2006+4*$D$4-$A164)/((4-1)*$D$4)*BX164</f>
        <v>0.16666666666666666</v>
      </c>
      <c r="CZ164" s="5">
        <f>($A164-2007)/((4-1)*$D$4)*BX164+(2007+4*$D$4-$A164)/((4-1)*$D$4)*BY164</f>
        <v>0.66666666666666663</v>
      </c>
      <c r="DA164" s="5">
        <f>($A164-2008)/((4-1)*$D$4)*BY164+(2008+4*$D$4-$A164)/((4-1)*$D$4)*BZ164</f>
        <v>0.16666666666666666</v>
      </c>
      <c r="DB164" s="5">
        <f>($A164-2009)/((4-1)*$D$4)*BZ164+(2009+4*$D$4-$A164)/((4-1)*$D$4)*CA164</f>
        <v>0</v>
      </c>
      <c r="DC164" s="5">
        <f>($A164-2010)/((4-1)*$D$4)*CA164+(2010+4*$D$4-$A164)/((4-1)*$D$4)*CB164</f>
        <v>0</v>
      </c>
      <c r="DD164" s="5">
        <f>($A164-2011)/((4-1)*$D$4)*CB164+(2011+4*$D$4-$A164)/((4-1)*$D$4)*CC164</f>
        <v>0</v>
      </c>
      <c r="DE164" s="5">
        <f>($A164-2012)/((4-1)*$D$4)*CC164+(2012+4*$D$4-$A164)/((4-1)*$D$4)*CD164</f>
        <v>0</v>
      </c>
      <c r="DF164" s="5">
        <f>($A164-2013)/((4-1)*$D$4)*CD164+(2013+4*$D$4-$A164)/((4-1)*$D$4)*CE164</f>
        <v>0</v>
      </c>
      <c r="DG164" s="5">
        <f>($A164-2014)/((4-1)*$D$4)*CE164+(2014+4*$D$4-$A164)/((4-1)*$D$4)*CF164</f>
        <v>0</v>
      </c>
      <c r="DH164" s="5">
        <f>($A164-2015)/((4-1)*$D$4)*CF164+(2015+4*$D$4-$A164)/((4-1)*$D$4)*CG164</f>
        <v>0</v>
      </c>
      <c r="DI164" s="5">
        <f>($A164-2016)/((4-1)*$D$4)*CG164+(2016+4*$D$4-$A164)/((4-1)*$D$4)*CH164</f>
        <v>0</v>
      </c>
      <c r="DJ164" s="5">
        <f>($A164-2017)/((4-1)*$D$4)*CH164+(2017+4*$D$4-$A164)/((4-1)*$D$4)*CI164</f>
        <v>0</v>
      </c>
      <c r="DK164" s="5">
        <f>($A164-2018)/((4-1)*$D$4)*CI164+(2018+4*$D$4-$A164)/((4-1)*$D$4)*CJ164</f>
        <v>0</v>
      </c>
    </row>
    <row r="165">
      <c r="A165" s="3" t="n">
        <v>2010</v>
      </c>
      <c r="B165" s="5">
        <f>IF(AND($A165&gt;=1992,$A165&lt;1993),1,0)</f>
        <v>0</v>
      </c>
      <c r="C165" s="5">
        <f>IF(AND($A165&gt;=1993,$A165&lt;1994),1,0)</f>
        <v>0</v>
      </c>
      <c r="D165" s="5">
        <f>IF(AND($A165&gt;=1994,$A165&lt;1995),1,0)</f>
        <v>0</v>
      </c>
      <c r="E165" s="5">
        <f>IF(AND($A165&gt;=1995,$A165&lt;1996),1,0)</f>
        <v>0</v>
      </c>
      <c r="F165" s="5">
        <f>IF(AND($A165&gt;=1996,$A165&lt;1997),1,0)</f>
        <v>0</v>
      </c>
      <c r="G165" s="5">
        <f>IF(AND($A165&gt;=1997,$A165&lt;1998),1,0)</f>
        <v>0</v>
      </c>
      <c r="H165" s="5">
        <f>IF(AND($A165&gt;=1998,$A165&lt;1999),1,0)</f>
        <v>0</v>
      </c>
      <c r="I165" s="5">
        <f>IF(AND($A165&gt;=1999,$A165&lt;2000),1,0)</f>
        <v>0</v>
      </c>
      <c r="J165" s="5">
        <f>IF(AND($A165&gt;=2000,$A165&lt;2001),1,0)</f>
        <v>0</v>
      </c>
      <c r="K165" s="5">
        <f>IF(AND($A165&gt;=2001,$A165&lt;2002),1,0)</f>
        <v>0</v>
      </c>
      <c r="L165" s="5">
        <f>IF(AND($A165&gt;=2002,$A165&lt;2003),1,0)</f>
        <v>0</v>
      </c>
      <c r="M165" s="5">
        <f>IF(AND($A165&gt;=2003,$A165&lt;2004),1,0)</f>
        <v>0</v>
      </c>
      <c r="N165" s="5">
        <f>IF(AND($A165&gt;=2004,$A165&lt;2005),1,0)</f>
        <v>0</v>
      </c>
      <c r="O165" s="5">
        <f>IF(AND($A165&gt;=2005,$A165&lt;2006),1,0)</f>
        <v>0</v>
      </c>
      <c r="P165" s="5">
        <f>IF(AND($A165&gt;=2006,$A165&lt;2007),1,0)</f>
        <v>0</v>
      </c>
      <c r="Q165" s="5">
        <f>IF(AND($A165&gt;=2007,$A165&lt;2008),1,0)</f>
        <v>0</v>
      </c>
      <c r="R165" s="5">
        <f>IF(AND($A165&gt;=2008,$A165&lt;2009),1,0)</f>
        <v>0</v>
      </c>
      <c r="S165" s="5">
        <f>IF(AND($A165&gt;=2009,$A165&lt;2010),1,0)</f>
        <v>0</v>
      </c>
      <c r="T165" s="5">
        <f>IF(AND($A165&gt;=2010,$A165&lt;2011),1,0)</f>
        <v>1</v>
      </c>
      <c r="U165" s="5">
        <f>IF(AND($A165&gt;=2011,$A165&lt;2012),1,0)</f>
        <v>0</v>
      </c>
      <c r="V165" s="5">
        <f>IF(AND($A165&gt;=2012,$A165&lt;2013),1,0)</f>
        <v>0</v>
      </c>
      <c r="W165" s="5">
        <f>IF(AND($A165&gt;=2013,$A165&lt;2014),1,0)</f>
        <v>0</v>
      </c>
      <c r="X165" s="5">
        <f>IF(AND($A165&gt;=2014,$A165&lt;2015),1,0)</f>
        <v>0</v>
      </c>
      <c r="Y165" s="5">
        <f>IF(AND($A165&gt;=2015,$A165&lt;2016),1,0)</f>
        <v>0</v>
      </c>
      <c r="Z165" s="5">
        <f>IF(AND($A165&gt;=2016,$A165&lt;2017),1,0)</f>
        <v>0</v>
      </c>
      <c r="AA165" s="5">
        <f>IF(AND($A165&gt;=2017,$A165&lt;2018),1,0)</f>
        <v>0</v>
      </c>
      <c r="AB165" s="5">
        <f>IF(AND($A165&gt;=2018,$A165&lt;2019),1,0)</f>
        <v>0</v>
      </c>
      <c r="AC165" s="5">
        <f>IF(AND($A165&gt;=2019,$A165&lt;2020),1,0)</f>
        <v>0</v>
      </c>
      <c r="AD165" s="5">
        <f>IF(AND($A165&gt;=2020,$A165&lt;2021),1,0)</f>
        <v>0</v>
      </c>
      <c r="AE165" s="5">
        <f>IF(AND($A165&gt;=2021,$A165&lt;2022),1,0)</f>
        <v>0</v>
      </c>
      <c r="AF165" s="5">
        <f>($A165-1992)/((2-1)*$D$4)*B165+(1992+2*$D$4-$A165)/((2-1)*$D$4)*C165</f>
        <v>0</v>
      </c>
      <c r="AG165" s="5">
        <f>($A165-1993)/((2-1)*$D$4)*C165+(1993+2*$D$4-$A165)/((2-1)*$D$4)*D165</f>
        <v>0</v>
      </c>
      <c r="AH165" s="5">
        <f>($A165-1994)/((2-1)*$D$4)*D165+(1994+2*$D$4-$A165)/((2-1)*$D$4)*E165</f>
        <v>0</v>
      </c>
      <c r="AI165" s="5">
        <f>($A165-1995)/((2-1)*$D$4)*E165+(1995+2*$D$4-$A165)/((2-1)*$D$4)*F165</f>
        <v>0</v>
      </c>
      <c r="AJ165" s="5">
        <f>($A165-1996)/((2-1)*$D$4)*F165+(1996+2*$D$4-$A165)/((2-1)*$D$4)*G165</f>
        <v>0</v>
      </c>
      <c r="AK165" s="5">
        <f>($A165-1997)/((2-1)*$D$4)*G165+(1997+2*$D$4-$A165)/((2-1)*$D$4)*H165</f>
        <v>0</v>
      </c>
      <c r="AL165" s="5">
        <f>($A165-1998)/((2-1)*$D$4)*H165+(1998+2*$D$4-$A165)/((2-1)*$D$4)*I165</f>
        <v>0</v>
      </c>
      <c r="AM165" s="5">
        <f>($A165-1999)/((2-1)*$D$4)*I165+(1999+2*$D$4-$A165)/((2-1)*$D$4)*J165</f>
        <v>0</v>
      </c>
      <c r="AN165" s="5">
        <f>($A165-2000)/((2-1)*$D$4)*J165+(2000+2*$D$4-$A165)/((2-1)*$D$4)*K165</f>
        <v>0</v>
      </c>
      <c r="AO165" s="5">
        <f>($A165-2001)/((2-1)*$D$4)*K165+(2001+2*$D$4-$A165)/((2-1)*$D$4)*L165</f>
        <v>0</v>
      </c>
      <c r="AP165" s="5">
        <f>($A165-2002)/((2-1)*$D$4)*L165+(2002+2*$D$4-$A165)/((2-1)*$D$4)*M165</f>
        <v>0</v>
      </c>
      <c r="AQ165" s="5">
        <f>($A165-2003)/((2-1)*$D$4)*M165+(2003+2*$D$4-$A165)/((2-1)*$D$4)*N165</f>
        <v>0</v>
      </c>
      <c r="AR165" s="5">
        <f>($A165-2004)/((2-1)*$D$4)*N165+(2004+2*$D$4-$A165)/((2-1)*$D$4)*O165</f>
        <v>0</v>
      </c>
      <c r="AS165" s="5">
        <f>($A165-2005)/((2-1)*$D$4)*O165+(2005+2*$D$4-$A165)/((2-1)*$D$4)*P165</f>
        <v>0</v>
      </c>
      <c r="AT165" s="5">
        <f>($A165-2006)/((2-1)*$D$4)*P165+(2006+2*$D$4-$A165)/((2-1)*$D$4)*Q165</f>
        <v>0</v>
      </c>
      <c r="AU165" s="5">
        <f>($A165-2007)/((2-1)*$D$4)*Q165+(2007+2*$D$4-$A165)/((2-1)*$D$4)*R165</f>
        <v>0</v>
      </c>
      <c r="AV165" s="5">
        <f>($A165-2008)/((2-1)*$D$4)*R165+(2008+2*$D$4-$A165)/((2-1)*$D$4)*S165</f>
        <v>0</v>
      </c>
      <c r="AW165" s="5">
        <f>($A165-2009)/((2-1)*$D$4)*S165+(2009+2*$D$4-$A165)/((2-1)*$D$4)*T165</f>
        <v>1</v>
      </c>
      <c r="AX165" s="5">
        <f>($A165-2010)/((2-1)*$D$4)*T165+(2010+2*$D$4-$A165)/((2-1)*$D$4)*U165</f>
        <v>0</v>
      </c>
      <c r="AY165" s="5">
        <f>($A165-2011)/((2-1)*$D$4)*U165+(2011+2*$D$4-$A165)/((2-1)*$D$4)*V165</f>
        <v>0</v>
      </c>
      <c r="AZ165" s="5">
        <f>($A165-2012)/((2-1)*$D$4)*V165+(2012+2*$D$4-$A165)/((2-1)*$D$4)*W165</f>
        <v>0</v>
      </c>
      <c r="BA165" s="5">
        <f>($A165-2013)/((2-1)*$D$4)*W165+(2013+2*$D$4-$A165)/((2-1)*$D$4)*X165</f>
        <v>0</v>
      </c>
      <c r="BB165" s="5">
        <f>($A165-2014)/((2-1)*$D$4)*X165+(2014+2*$D$4-$A165)/((2-1)*$D$4)*Y165</f>
        <v>0</v>
      </c>
      <c r="BC165" s="5">
        <f>($A165-2015)/((2-1)*$D$4)*Y165+(2015+2*$D$4-$A165)/((2-1)*$D$4)*Z165</f>
        <v>0</v>
      </c>
      <c r="BD165" s="5">
        <f>($A165-2016)/((2-1)*$D$4)*Z165+(2016+2*$D$4-$A165)/((2-1)*$D$4)*AA165</f>
        <v>0</v>
      </c>
      <c r="BE165" s="5">
        <f>($A165-2017)/((2-1)*$D$4)*AA165+(2017+2*$D$4-$A165)/((2-1)*$D$4)*AB165</f>
        <v>0</v>
      </c>
      <c r="BF165" s="5">
        <f>($A165-2018)/((2-1)*$D$4)*AB165+(2018+2*$D$4-$A165)/((2-1)*$D$4)*AC165</f>
        <v>0</v>
      </c>
      <c r="BG165" s="5">
        <f>($A165-2019)/((2-1)*$D$4)*AC165+(2019+2*$D$4-$A165)/((2-1)*$D$4)*AD165</f>
        <v>0</v>
      </c>
      <c r="BH165" s="5">
        <f>($A165-2020)/((2-1)*$D$4)*AD165+(2020+2*$D$4-$A165)/((2-1)*$D$4)*AE165</f>
        <v>0</v>
      </c>
      <c r="BI165" s="5">
        <f>($A165-1992)/((3-1)*$D$4)*AF165+(1992+3*$D$4-$A165)/((3-1)*$D$4)*AG165</f>
        <v>0</v>
      </c>
      <c r="BJ165" s="5">
        <f>($A165-1993)/((3-1)*$D$4)*AG165+(1993+3*$D$4-$A165)/((3-1)*$D$4)*AH165</f>
        <v>0</v>
      </c>
      <c r="BK165" s="5">
        <f>($A165-1994)/((3-1)*$D$4)*AH165+(1994+3*$D$4-$A165)/((3-1)*$D$4)*AI165</f>
        <v>0</v>
      </c>
      <c r="BL165" s="5">
        <f>($A165-1995)/((3-1)*$D$4)*AI165+(1995+3*$D$4-$A165)/((3-1)*$D$4)*AJ165</f>
        <v>0</v>
      </c>
      <c r="BM165" s="5">
        <f>($A165-1996)/((3-1)*$D$4)*AJ165+(1996+3*$D$4-$A165)/((3-1)*$D$4)*AK165</f>
        <v>0</v>
      </c>
      <c r="BN165" s="5">
        <f>($A165-1997)/((3-1)*$D$4)*AK165+(1997+3*$D$4-$A165)/((3-1)*$D$4)*AL165</f>
        <v>0</v>
      </c>
      <c r="BO165" s="5">
        <f>($A165-1998)/((3-1)*$D$4)*AL165+(1998+3*$D$4-$A165)/((3-1)*$D$4)*AM165</f>
        <v>0</v>
      </c>
      <c r="BP165" s="5">
        <f>($A165-1999)/((3-1)*$D$4)*AM165+(1999+3*$D$4-$A165)/((3-1)*$D$4)*AN165</f>
        <v>0</v>
      </c>
      <c r="BQ165" s="5">
        <f>($A165-2000)/((3-1)*$D$4)*AN165+(2000+3*$D$4-$A165)/((3-1)*$D$4)*AO165</f>
        <v>0</v>
      </c>
      <c r="BR165" s="5">
        <f>($A165-2001)/((3-1)*$D$4)*AO165+(2001+3*$D$4-$A165)/((3-1)*$D$4)*AP165</f>
        <v>0</v>
      </c>
      <c r="BS165" s="5">
        <f>($A165-2002)/((3-1)*$D$4)*AP165+(2002+3*$D$4-$A165)/((3-1)*$D$4)*AQ165</f>
        <v>0</v>
      </c>
      <c r="BT165" s="5">
        <f>($A165-2003)/((3-1)*$D$4)*AQ165+(2003+3*$D$4-$A165)/((3-1)*$D$4)*AR165</f>
        <v>0</v>
      </c>
      <c r="BU165" s="5">
        <f>($A165-2004)/((3-1)*$D$4)*AR165+(2004+3*$D$4-$A165)/((3-1)*$D$4)*AS165</f>
        <v>0</v>
      </c>
      <c r="BV165" s="5">
        <f>($A165-2005)/((3-1)*$D$4)*AS165+(2005+3*$D$4-$A165)/((3-1)*$D$4)*AT165</f>
        <v>0</v>
      </c>
      <c r="BW165" s="5">
        <f>($A165-2006)/((3-1)*$D$4)*AT165+(2006+3*$D$4-$A165)/((3-1)*$D$4)*AU165</f>
        <v>0</v>
      </c>
      <c r="BX165" s="5">
        <f>($A165-2007)/((3-1)*$D$4)*AU165+(2007+3*$D$4-$A165)/((3-1)*$D$4)*AV165</f>
        <v>0</v>
      </c>
      <c r="BY165" s="5">
        <f>($A165-2008)/((3-1)*$D$4)*AV165+(2008+3*$D$4-$A165)/((3-1)*$D$4)*AW165</f>
        <v>0.5</v>
      </c>
      <c r="BZ165" s="5">
        <f>($A165-2009)/((3-1)*$D$4)*AW165+(2009+3*$D$4-$A165)/((3-1)*$D$4)*AX165</f>
        <v>0.5</v>
      </c>
      <c r="CA165" s="5">
        <f>($A165-2010)/((3-1)*$D$4)*AX165+(2010+3*$D$4-$A165)/((3-1)*$D$4)*AY165</f>
        <v>0</v>
      </c>
      <c r="CB165" s="5">
        <f>($A165-2011)/((3-1)*$D$4)*AY165+(2011+3*$D$4-$A165)/((3-1)*$D$4)*AZ165</f>
        <v>0</v>
      </c>
      <c r="CC165" s="5">
        <f>($A165-2012)/((3-1)*$D$4)*AZ165+(2012+3*$D$4-$A165)/((3-1)*$D$4)*BA165</f>
        <v>0</v>
      </c>
      <c r="CD165" s="5">
        <f>($A165-2013)/((3-1)*$D$4)*BA165+(2013+3*$D$4-$A165)/((3-1)*$D$4)*BB165</f>
        <v>0</v>
      </c>
      <c r="CE165" s="5">
        <f>($A165-2014)/((3-1)*$D$4)*BB165+(2014+3*$D$4-$A165)/((3-1)*$D$4)*BC165</f>
        <v>0</v>
      </c>
      <c r="CF165" s="5">
        <f>($A165-2015)/((3-1)*$D$4)*BC165+(2015+3*$D$4-$A165)/((3-1)*$D$4)*BD165</f>
        <v>0</v>
      </c>
      <c r="CG165" s="5">
        <f>($A165-2016)/((3-1)*$D$4)*BD165+(2016+3*$D$4-$A165)/((3-1)*$D$4)*BE165</f>
        <v>0</v>
      </c>
      <c r="CH165" s="5">
        <f>($A165-2017)/((3-1)*$D$4)*BE165+(2017+3*$D$4-$A165)/((3-1)*$D$4)*BF165</f>
        <v>0</v>
      </c>
      <c r="CI165" s="5">
        <f>($A165-2018)/((3-1)*$D$4)*BF165+(2018+3*$D$4-$A165)/((3-1)*$D$4)*BG165</f>
        <v>0</v>
      </c>
      <c r="CJ165" s="5">
        <f>($A165-2019)/((3-1)*$D$4)*BG165+(2019+3*$D$4-$A165)/((3-1)*$D$4)*BH165</f>
        <v>0</v>
      </c>
      <c r="CK165" s="5">
        <f>($A165-1992)/((4-1)*$D$4)*BI165+(1992+4*$D$4-$A165)/((4-1)*$D$4)*BJ165</f>
        <v>0</v>
      </c>
      <c r="CL165" s="5">
        <f>($A165-1993)/((4-1)*$D$4)*BJ165+(1993+4*$D$4-$A165)/((4-1)*$D$4)*BK165</f>
        <v>0</v>
      </c>
      <c r="CM165" s="5">
        <f>($A165-1994)/((4-1)*$D$4)*BK165+(1994+4*$D$4-$A165)/((4-1)*$D$4)*BL165</f>
        <v>0</v>
      </c>
      <c r="CN165" s="5">
        <f>($A165-1995)/((4-1)*$D$4)*BL165+(1995+4*$D$4-$A165)/((4-1)*$D$4)*BM165</f>
        <v>0</v>
      </c>
      <c r="CO165" s="5">
        <f>($A165-1996)/((4-1)*$D$4)*BM165+(1996+4*$D$4-$A165)/((4-1)*$D$4)*BN165</f>
        <v>0</v>
      </c>
      <c r="CP165" s="5">
        <f>($A165-1997)/((4-1)*$D$4)*BN165+(1997+4*$D$4-$A165)/((4-1)*$D$4)*BO165</f>
        <v>0</v>
      </c>
      <c r="CQ165" s="5">
        <f>($A165-1998)/((4-1)*$D$4)*BO165+(1998+4*$D$4-$A165)/((4-1)*$D$4)*BP165</f>
        <v>0</v>
      </c>
      <c r="CR165" s="5">
        <f>($A165-1999)/((4-1)*$D$4)*BP165+(1999+4*$D$4-$A165)/((4-1)*$D$4)*BQ165</f>
        <v>0</v>
      </c>
      <c r="CS165" s="5">
        <f>($A165-2000)/((4-1)*$D$4)*BQ165+(2000+4*$D$4-$A165)/((4-1)*$D$4)*BR165</f>
        <v>0</v>
      </c>
      <c r="CT165" s="5">
        <f>($A165-2001)/((4-1)*$D$4)*BR165+(2001+4*$D$4-$A165)/((4-1)*$D$4)*BS165</f>
        <v>0</v>
      </c>
      <c r="CU165" s="5">
        <f>($A165-2002)/((4-1)*$D$4)*BS165+(2002+4*$D$4-$A165)/((4-1)*$D$4)*BT165</f>
        <v>0</v>
      </c>
      <c r="CV165" s="5">
        <f>($A165-2003)/((4-1)*$D$4)*BT165+(2003+4*$D$4-$A165)/((4-1)*$D$4)*BU165</f>
        <v>0</v>
      </c>
      <c r="CW165" s="5">
        <f>($A165-2004)/((4-1)*$D$4)*BU165+(2004+4*$D$4-$A165)/((4-1)*$D$4)*BV165</f>
        <v>0</v>
      </c>
      <c r="CX165" s="5">
        <f>($A165-2005)/((4-1)*$D$4)*BV165+(2005+4*$D$4-$A165)/((4-1)*$D$4)*BW165</f>
        <v>0</v>
      </c>
      <c r="CY165" s="5">
        <f>($A165-2006)/((4-1)*$D$4)*BW165+(2006+4*$D$4-$A165)/((4-1)*$D$4)*BX165</f>
        <v>0</v>
      </c>
      <c r="CZ165" s="5">
        <f>($A165-2007)/((4-1)*$D$4)*BX165+(2007+4*$D$4-$A165)/((4-1)*$D$4)*BY165</f>
        <v>0.16666666666666666</v>
      </c>
      <c r="DA165" s="5">
        <f>($A165-2008)/((4-1)*$D$4)*BY165+(2008+4*$D$4-$A165)/((4-1)*$D$4)*BZ165</f>
        <v>0.66666666666666663</v>
      </c>
      <c r="DB165" s="5">
        <f>($A165-2009)/((4-1)*$D$4)*BZ165+(2009+4*$D$4-$A165)/((4-1)*$D$4)*CA165</f>
        <v>0.16666666666666666</v>
      </c>
      <c r="DC165" s="5">
        <f>($A165-2010)/((4-1)*$D$4)*CA165+(2010+4*$D$4-$A165)/((4-1)*$D$4)*CB165</f>
        <v>0</v>
      </c>
      <c r="DD165" s="5">
        <f>($A165-2011)/((4-1)*$D$4)*CB165+(2011+4*$D$4-$A165)/((4-1)*$D$4)*CC165</f>
        <v>0</v>
      </c>
      <c r="DE165" s="5">
        <f>($A165-2012)/((4-1)*$D$4)*CC165+(2012+4*$D$4-$A165)/((4-1)*$D$4)*CD165</f>
        <v>0</v>
      </c>
      <c r="DF165" s="5">
        <f>($A165-2013)/((4-1)*$D$4)*CD165+(2013+4*$D$4-$A165)/((4-1)*$D$4)*CE165</f>
        <v>0</v>
      </c>
      <c r="DG165" s="5">
        <f>($A165-2014)/((4-1)*$D$4)*CE165+(2014+4*$D$4-$A165)/((4-1)*$D$4)*CF165</f>
        <v>0</v>
      </c>
      <c r="DH165" s="5">
        <f>($A165-2015)/((4-1)*$D$4)*CF165+(2015+4*$D$4-$A165)/((4-1)*$D$4)*CG165</f>
        <v>0</v>
      </c>
      <c r="DI165" s="5">
        <f>($A165-2016)/((4-1)*$D$4)*CG165+(2016+4*$D$4-$A165)/((4-1)*$D$4)*CH165</f>
        <v>0</v>
      </c>
      <c r="DJ165" s="5">
        <f>($A165-2017)/((4-1)*$D$4)*CH165+(2017+4*$D$4-$A165)/((4-1)*$D$4)*CI165</f>
        <v>0</v>
      </c>
      <c r="DK165" s="5">
        <f>($A165-2018)/((4-1)*$D$4)*CI165+(2018+4*$D$4-$A165)/((4-1)*$D$4)*CJ165</f>
        <v>0</v>
      </c>
    </row>
    <row r="166">
      <c r="A166" s="3" t="n">
        <v>2011</v>
      </c>
      <c r="B166" s="5">
        <f>IF(AND($A166&gt;=1992,$A166&lt;1993),1,0)</f>
        <v>0</v>
      </c>
      <c r="C166" s="5">
        <f>IF(AND($A166&gt;=1993,$A166&lt;1994),1,0)</f>
        <v>0</v>
      </c>
      <c r="D166" s="5">
        <f>IF(AND($A166&gt;=1994,$A166&lt;1995),1,0)</f>
        <v>0</v>
      </c>
      <c r="E166" s="5">
        <f>IF(AND($A166&gt;=1995,$A166&lt;1996),1,0)</f>
        <v>0</v>
      </c>
      <c r="F166" s="5">
        <f>IF(AND($A166&gt;=1996,$A166&lt;1997),1,0)</f>
        <v>0</v>
      </c>
      <c r="G166" s="5">
        <f>IF(AND($A166&gt;=1997,$A166&lt;1998),1,0)</f>
        <v>0</v>
      </c>
      <c r="H166" s="5">
        <f>IF(AND($A166&gt;=1998,$A166&lt;1999),1,0)</f>
        <v>0</v>
      </c>
      <c r="I166" s="5">
        <f>IF(AND($A166&gt;=1999,$A166&lt;2000),1,0)</f>
        <v>0</v>
      </c>
      <c r="J166" s="5">
        <f>IF(AND($A166&gt;=2000,$A166&lt;2001),1,0)</f>
        <v>0</v>
      </c>
      <c r="K166" s="5">
        <f>IF(AND($A166&gt;=2001,$A166&lt;2002),1,0)</f>
        <v>0</v>
      </c>
      <c r="L166" s="5">
        <f>IF(AND($A166&gt;=2002,$A166&lt;2003),1,0)</f>
        <v>0</v>
      </c>
      <c r="M166" s="5">
        <f>IF(AND($A166&gt;=2003,$A166&lt;2004),1,0)</f>
        <v>0</v>
      </c>
      <c r="N166" s="5">
        <f>IF(AND($A166&gt;=2004,$A166&lt;2005),1,0)</f>
        <v>0</v>
      </c>
      <c r="O166" s="5">
        <f>IF(AND($A166&gt;=2005,$A166&lt;2006),1,0)</f>
        <v>0</v>
      </c>
      <c r="P166" s="5">
        <f>IF(AND($A166&gt;=2006,$A166&lt;2007),1,0)</f>
        <v>0</v>
      </c>
      <c r="Q166" s="5">
        <f>IF(AND($A166&gt;=2007,$A166&lt;2008),1,0)</f>
        <v>0</v>
      </c>
      <c r="R166" s="5">
        <f>IF(AND($A166&gt;=2008,$A166&lt;2009),1,0)</f>
        <v>0</v>
      </c>
      <c r="S166" s="5">
        <f>IF(AND($A166&gt;=2009,$A166&lt;2010),1,0)</f>
        <v>0</v>
      </c>
      <c r="T166" s="5">
        <f>IF(AND($A166&gt;=2010,$A166&lt;2011),1,0)</f>
        <v>0</v>
      </c>
      <c r="U166" s="5">
        <f>IF(AND($A166&gt;=2011,$A166&lt;2012),1,0)</f>
        <v>1</v>
      </c>
      <c r="V166" s="5">
        <f>IF(AND($A166&gt;=2012,$A166&lt;2013),1,0)</f>
        <v>0</v>
      </c>
      <c r="W166" s="5">
        <f>IF(AND($A166&gt;=2013,$A166&lt;2014),1,0)</f>
        <v>0</v>
      </c>
      <c r="X166" s="5">
        <f>IF(AND($A166&gt;=2014,$A166&lt;2015),1,0)</f>
        <v>0</v>
      </c>
      <c r="Y166" s="5">
        <f>IF(AND($A166&gt;=2015,$A166&lt;2016),1,0)</f>
        <v>0</v>
      </c>
      <c r="Z166" s="5">
        <f>IF(AND($A166&gt;=2016,$A166&lt;2017),1,0)</f>
        <v>0</v>
      </c>
      <c r="AA166" s="5">
        <f>IF(AND($A166&gt;=2017,$A166&lt;2018),1,0)</f>
        <v>0</v>
      </c>
      <c r="AB166" s="5">
        <f>IF(AND($A166&gt;=2018,$A166&lt;2019),1,0)</f>
        <v>0</v>
      </c>
      <c r="AC166" s="5">
        <f>IF(AND($A166&gt;=2019,$A166&lt;2020),1,0)</f>
        <v>0</v>
      </c>
      <c r="AD166" s="5">
        <f>IF(AND($A166&gt;=2020,$A166&lt;2021),1,0)</f>
        <v>0</v>
      </c>
      <c r="AE166" s="5">
        <f>IF(AND($A166&gt;=2021,$A166&lt;2022),1,0)</f>
        <v>0</v>
      </c>
      <c r="AF166" s="5">
        <f>($A166-1992)/((2-1)*$D$4)*B166+(1992+2*$D$4-$A166)/((2-1)*$D$4)*C166</f>
        <v>0</v>
      </c>
      <c r="AG166" s="5">
        <f>($A166-1993)/((2-1)*$D$4)*C166+(1993+2*$D$4-$A166)/((2-1)*$D$4)*D166</f>
        <v>0</v>
      </c>
      <c r="AH166" s="5">
        <f>($A166-1994)/((2-1)*$D$4)*D166+(1994+2*$D$4-$A166)/((2-1)*$D$4)*E166</f>
        <v>0</v>
      </c>
      <c r="AI166" s="5">
        <f>($A166-1995)/((2-1)*$D$4)*E166+(1995+2*$D$4-$A166)/((2-1)*$D$4)*F166</f>
        <v>0</v>
      </c>
      <c r="AJ166" s="5">
        <f>($A166-1996)/((2-1)*$D$4)*F166+(1996+2*$D$4-$A166)/((2-1)*$D$4)*G166</f>
        <v>0</v>
      </c>
      <c r="AK166" s="5">
        <f>($A166-1997)/((2-1)*$D$4)*G166+(1997+2*$D$4-$A166)/((2-1)*$D$4)*H166</f>
        <v>0</v>
      </c>
      <c r="AL166" s="5">
        <f>($A166-1998)/((2-1)*$D$4)*H166+(1998+2*$D$4-$A166)/((2-1)*$D$4)*I166</f>
        <v>0</v>
      </c>
      <c r="AM166" s="5">
        <f>($A166-1999)/((2-1)*$D$4)*I166+(1999+2*$D$4-$A166)/((2-1)*$D$4)*J166</f>
        <v>0</v>
      </c>
      <c r="AN166" s="5">
        <f>($A166-2000)/((2-1)*$D$4)*J166+(2000+2*$D$4-$A166)/((2-1)*$D$4)*K166</f>
        <v>0</v>
      </c>
      <c r="AO166" s="5">
        <f>($A166-2001)/((2-1)*$D$4)*K166+(2001+2*$D$4-$A166)/((2-1)*$D$4)*L166</f>
        <v>0</v>
      </c>
      <c r="AP166" s="5">
        <f>($A166-2002)/((2-1)*$D$4)*L166+(2002+2*$D$4-$A166)/((2-1)*$D$4)*M166</f>
        <v>0</v>
      </c>
      <c r="AQ166" s="5">
        <f>($A166-2003)/((2-1)*$D$4)*M166+(2003+2*$D$4-$A166)/((2-1)*$D$4)*N166</f>
        <v>0</v>
      </c>
      <c r="AR166" s="5">
        <f>($A166-2004)/((2-1)*$D$4)*N166+(2004+2*$D$4-$A166)/((2-1)*$D$4)*O166</f>
        <v>0</v>
      </c>
      <c r="AS166" s="5">
        <f>($A166-2005)/((2-1)*$D$4)*O166+(2005+2*$D$4-$A166)/((2-1)*$D$4)*P166</f>
        <v>0</v>
      </c>
      <c r="AT166" s="5">
        <f>($A166-2006)/((2-1)*$D$4)*P166+(2006+2*$D$4-$A166)/((2-1)*$D$4)*Q166</f>
        <v>0</v>
      </c>
      <c r="AU166" s="5">
        <f>($A166-2007)/((2-1)*$D$4)*Q166+(2007+2*$D$4-$A166)/((2-1)*$D$4)*R166</f>
        <v>0</v>
      </c>
      <c r="AV166" s="5">
        <f>($A166-2008)/((2-1)*$D$4)*R166+(2008+2*$D$4-$A166)/((2-1)*$D$4)*S166</f>
        <v>0</v>
      </c>
      <c r="AW166" s="5">
        <f>($A166-2009)/((2-1)*$D$4)*S166+(2009+2*$D$4-$A166)/((2-1)*$D$4)*T166</f>
        <v>0</v>
      </c>
      <c r="AX166" s="5">
        <f>($A166-2010)/((2-1)*$D$4)*T166+(2010+2*$D$4-$A166)/((2-1)*$D$4)*U166</f>
        <v>1</v>
      </c>
      <c r="AY166" s="5">
        <f>($A166-2011)/((2-1)*$D$4)*U166+(2011+2*$D$4-$A166)/((2-1)*$D$4)*V166</f>
        <v>0</v>
      </c>
      <c r="AZ166" s="5">
        <f>($A166-2012)/((2-1)*$D$4)*V166+(2012+2*$D$4-$A166)/((2-1)*$D$4)*W166</f>
        <v>0</v>
      </c>
      <c r="BA166" s="5">
        <f>($A166-2013)/((2-1)*$D$4)*W166+(2013+2*$D$4-$A166)/((2-1)*$D$4)*X166</f>
        <v>0</v>
      </c>
      <c r="BB166" s="5">
        <f>($A166-2014)/((2-1)*$D$4)*X166+(2014+2*$D$4-$A166)/((2-1)*$D$4)*Y166</f>
        <v>0</v>
      </c>
      <c r="BC166" s="5">
        <f>($A166-2015)/((2-1)*$D$4)*Y166+(2015+2*$D$4-$A166)/((2-1)*$D$4)*Z166</f>
        <v>0</v>
      </c>
      <c r="BD166" s="5">
        <f>($A166-2016)/((2-1)*$D$4)*Z166+(2016+2*$D$4-$A166)/((2-1)*$D$4)*AA166</f>
        <v>0</v>
      </c>
      <c r="BE166" s="5">
        <f>($A166-2017)/((2-1)*$D$4)*AA166+(2017+2*$D$4-$A166)/((2-1)*$D$4)*AB166</f>
        <v>0</v>
      </c>
      <c r="BF166" s="5">
        <f>($A166-2018)/((2-1)*$D$4)*AB166+(2018+2*$D$4-$A166)/((2-1)*$D$4)*AC166</f>
        <v>0</v>
      </c>
      <c r="BG166" s="5">
        <f>($A166-2019)/((2-1)*$D$4)*AC166+(2019+2*$D$4-$A166)/((2-1)*$D$4)*AD166</f>
        <v>0</v>
      </c>
      <c r="BH166" s="5">
        <f>($A166-2020)/((2-1)*$D$4)*AD166+(2020+2*$D$4-$A166)/((2-1)*$D$4)*AE166</f>
        <v>0</v>
      </c>
      <c r="BI166" s="5">
        <f>($A166-1992)/((3-1)*$D$4)*AF166+(1992+3*$D$4-$A166)/((3-1)*$D$4)*AG166</f>
        <v>0</v>
      </c>
      <c r="BJ166" s="5">
        <f>($A166-1993)/((3-1)*$D$4)*AG166+(1993+3*$D$4-$A166)/((3-1)*$D$4)*AH166</f>
        <v>0</v>
      </c>
      <c r="BK166" s="5">
        <f>($A166-1994)/((3-1)*$D$4)*AH166+(1994+3*$D$4-$A166)/((3-1)*$D$4)*AI166</f>
        <v>0</v>
      </c>
      <c r="BL166" s="5">
        <f>($A166-1995)/((3-1)*$D$4)*AI166+(1995+3*$D$4-$A166)/((3-1)*$D$4)*AJ166</f>
        <v>0</v>
      </c>
      <c r="BM166" s="5">
        <f>($A166-1996)/((3-1)*$D$4)*AJ166+(1996+3*$D$4-$A166)/((3-1)*$D$4)*AK166</f>
        <v>0</v>
      </c>
      <c r="BN166" s="5">
        <f>($A166-1997)/((3-1)*$D$4)*AK166+(1997+3*$D$4-$A166)/((3-1)*$D$4)*AL166</f>
        <v>0</v>
      </c>
      <c r="BO166" s="5">
        <f>($A166-1998)/((3-1)*$D$4)*AL166+(1998+3*$D$4-$A166)/((3-1)*$D$4)*AM166</f>
        <v>0</v>
      </c>
      <c r="BP166" s="5">
        <f>($A166-1999)/((3-1)*$D$4)*AM166+(1999+3*$D$4-$A166)/((3-1)*$D$4)*AN166</f>
        <v>0</v>
      </c>
      <c r="BQ166" s="5">
        <f>($A166-2000)/((3-1)*$D$4)*AN166+(2000+3*$D$4-$A166)/((3-1)*$D$4)*AO166</f>
        <v>0</v>
      </c>
      <c r="BR166" s="5">
        <f>($A166-2001)/((3-1)*$D$4)*AO166+(2001+3*$D$4-$A166)/((3-1)*$D$4)*AP166</f>
        <v>0</v>
      </c>
      <c r="BS166" s="5">
        <f>($A166-2002)/((3-1)*$D$4)*AP166+(2002+3*$D$4-$A166)/((3-1)*$D$4)*AQ166</f>
        <v>0</v>
      </c>
      <c r="BT166" s="5">
        <f>($A166-2003)/((3-1)*$D$4)*AQ166+(2003+3*$D$4-$A166)/((3-1)*$D$4)*AR166</f>
        <v>0</v>
      </c>
      <c r="BU166" s="5">
        <f>($A166-2004)/((3-1)*$D$4)*AR166+(2004+3*$D$4-$A166)/((3-1)*$D$4)*AS166</f>
        <v>0</v>
      </c>
      <c r="BV166" s="5">
        <f>($A166-2005)/((3-1)*$D$4)*AS166+(2005+3*$D$4-$A166)/((3-1)*$D$4)*AT166</f>
        <v>0</v>
      </c>
      <c r="BW166" s="5">
        <f>($A166-2006)/((3-1)*$D$4)*AT166+(2006+3*$D$4-$A166)/((3-1)*$D$4)*AU166</f>
        <v>0</v>
      </c>
      <c r="BX166" s="5">
        <f>($A166-2007)/((3-1)*$D$4)*AU166+(2007+3*$D$4-$A166)/((3-1)*$D$4)*AV166</f>
        <v>0</v>
      </c>
      <c r="BY166" s="5">
        <f>($A166-2008)/((3-1)*$D$4)*AV166+(2008+3*$D$4-$A166)/((3-1)*$D$4)*AW166</f>
        <v>0</v>
      </c>
      <c r="BZ166" s="5">
        <f>($A166-2009)/((3-1)*$D$4)*AW166+(2009+3*$D$4-$A166)/((3-1)*$D$4)*AX166</f>
        <v>0.5</v>
      </c>
      <c r="CA166" s="5">
        <f>($A166-2010)/((3-1)*$D$4)*AX166+(2010+3*$D$4-$A166)/((3-1)*$D$4)*AY166</f>
        <v>0.5</v>
      </c>
      <c r="CB166" s="5">
        <f>($A166-2011)/((3-1)*$D$4)*AY166+(2011+3*$D$4-$A166)/((3-1)*$D$4)*AZ166</f>
        <v>0</v>
      </c>
      <c r="CC166" s="5">
        <f>($A166-2012)/((3-1)*$D$4)*AZ166+(2012+3*$D$4-$A166)/((3-1)*$D$4)*BA166</f>
        <v>0</v>
      </c>
      <c r="CD166" s="5">
        <f>($A166-2013)/((3-1)*$D$4)*BA166+(2013+3*$D$4-$A166)/((3-1)*$D$4)*BB166</f>
        <v>0</v>
      </c>
      <c r="CE166" s="5">
        <f>($A166-2014)/((3-1)*$D$4)*BB166+(2014+3*$D$4-$A166)/((3-1)*$D$4)*BC166</f>
        <v>0</v>
      </c>
      <c r="CF166" s="5">
        <f>($A166-2015)/((3-1)*$D$4)*BC166+(2015+3*$D$4-$A166)/((3-1)*$D$4)*BD166</f>
        <v>0</v>
      </c>
      <c r="CG166" s="5">
        <f>($A166-2016)/((3-1)*$D$4)*BD166+(2016+3*$D$4-$A166)/((3-1)*$D$4)*BE166</f>
        <v>0</v>
      </c>
      <c r="CH166" s="5">
        <f>($A166-2017)/((3-1)*$D$4)*BE166+(2017+3*$D$4-$A166)/((3-1)*$D$4)*BF166</f>
        <v>0</v>
      </c>
      <c r="CI166" s="5">
        <f>($A166-2018)/((3-1)*$D$4)*BF166+(2018+3*$D$4-$A166)/((3-1)*$D$4)*BG166</f>
        <v>0</v>
      </c>
      <c r="CJ166" s="5">
        <f>($A166-2019)/((3-1)*$D$4)*BG166+(2019+3*$D$4-$A166)/((3-1)*$D$4)*BH166</f>
        <v>0</v>
      </c>
      <c r="CK166" s="5">
        <f>($A166-1992)/((4-1)*$D$4)*BI166+(1992+4*$D$4-$A166)/((4-1)*$D$4)*BJ166</f>
        <v>0</v>
      </c>
      <c r="CL166" s="5">
        <f>($A166-1993)/((4-1)*$D$4)*BJ166+(1993+4*$D$4-$A166)/((4-1)*$D$4)*BK166</f>
        <v>0</v>
      </c>
      <c r="CM166" s="5">
        <f>($A166-1994)/((4-1)*$D$4)*BK166+(1994+4*$D$4-$A166)/((4-1)*$D$4)*BL166</f>
        <v>0</v>
      </c>
      <c r="CN166" s="5">
        <f>($A166-1995)/((4-1)*$D$4)*BL166+(1995+4*$D$4-$A166)/((4-1)*$D$4)*BM166</f>
        <v>0</v>
      </c>
      <c r="CO166" s="5">
        <f>($A166-1996)/((4-1)*$D$4)*BM166+(1996+4*$D$4-$A166)/((4-1)*$D$4)*BN166</f>
        <v>0</v>
      </c>
      <c r="CP166" s="5">
        <f>($A166-1997)/((4-1)*$D$4)*BN166+(1997+4*$D$4-$A166)/((4-1)*$D$4)*BO166</f>
        <v>0</v>
      </c>
      <c r="CQ166" s="5">
        <f>($A166-1998)/((4-1)*$D$4)*BO166+(1998+4*$D$4-$A166)/((4-1)*$D$4)*BP166</f>
        <v>0</v>
      </c>
      <c r="CR166" s="5">
        <f>($A166-1999)/((4-1)*$D$4)*BP166+(1999+4*$D$4-$A166)/((4-1)*$D$4)*BQ166</f>
        <v>0</v>
      </c>
      <c r="CS166" s="5">
        <f>($A166-2000)/((4-1)*$D$4)*BQ166+(2000+4*$D$4-$A166)/((4-1)*$D$4)*BR166</f>
        <v>0</v>
      </c>
      <c r="CT166" s="5">
        <f>($A166-2001)/((4-1)*$D$4)*BR166+(2001+4*$D$4-$A166)/((4-1)*$D$4)*BS166</f>
        <v>0</v>
      </c>
      <c r="CU166" s="5">
        <f>($A166-2002)/((4-1)*$D$4)*BS166+(2002+4*$D$4-$A166)/((4-1)*$D$4)*BT166</f>
        <v>0</v>
      </c>
      <c r="CV166" s="5">
        <f>($A166-2003)/((4-1)*$D$4)*BT166+(2003+4*$D$4-$A166)/((4-1)*$D$4)*BU166</f>
        <v>0</v>
      </c>
      <c r="CW166" s="5">
        <f>($A166-2004)/((4-1)*$D$4)*BU166+(2004+4*$D$4-$A166)/((4-1)*$D$4)*BV166</f>
        <v>0</v>
      </c>
      <c r="CX166" s="5">
        <f>($A166-2005)/((4-1)*$D$4)*BV166+(2005+4*$D$4-$A166)/((4-1)*$D$4)*BW166</f>
        <v>0</v>
      </c>
      <c r="CY166" s="5">
        <f>($A166-2006)/((4-1)*$D$4)*BW166+(2006+4*$D$4-$A166)/((4-1)*$D$4)*BX166</f>
        <v>0</v>
      </c>
      <c r="CZ166" s="5">
        <f>($A166-2007)/((4-1)*$D$4)*BX166+(2007+4*$D$4-$A166)/((4-1)*$D$4)*BY166</f>
        <v>0</v>
      </c>
      <c r="DA166" s="5">
        <f>($A166-2008)/((4-1)*$D$4)*BY166+(2008+4*$D$4-$A166)/((4-1)*$D$4)*BZ166</f>
        <v>0.16666666666666666</v>
      </c>
      <c r="DB166" s="5">
        <f>($A166-2009)/((4-1)*$D$4)*BZ166+(2009+4*$D$4-$A166)/((4-1)*$D$4)*CA166</f>
        <v>0.66666666666666663</v>
      </c>
      <c r="DC166" s="5">
        <f>($A166-2010)/((4-1)*$D$4)*CA166+(2010+4*$D$4-$A166)/((4-1)*$D$4)*CB166</f>
        <v>0.16666666666666666</v>
      </c>
      <c r="DD166" s="5">
        <f>($A166-2011)/((4-1)*$D$4)*CB166+(2011+4*$D$4-$A166)/((4-1)*$D$4)*CC166</f>
        <v>0</v>
      </c>
      <c r="DE166" s="5">
        <f>($A166-2012)/((4-1)*$D$4)*CC166+(2012+4*$D$4-$A166)/((4-1)*$D$4)*CD166</f>
        <v>0</v>
      </c>
      <c r="DF166" s="5">
        <f>($A166-2013)/((4-1)*$D$4)*CD166+(2013+4*$D$4-$A166)/((4-1)*$D$4)*CE166</f>
        <v>0</v>
      </c>
      <c r="DG166" s="5">
        <f>($A166-2014)/((4-1)*$D$4)*CE166+(2014+4*$D$4-$A166)/((4-1)*$D$4)*CF166</f>
        <v>0</v>
      </c>
      <c r="DH166" s="5">
        <f>($A166-2015)/((4-1)*$D$4)*CF166+(2015+4*$D$4-$A166)/((4-1)*$D$4)*CG166</f>
        <v>0</v>
      </c>
      <c r="DI166" s="5">
        <f>($A166-2016)/((4-1)*$D$4)*CG166+(2016+4*$D$4-$A166)/((4-1)*$D$4)*CH166</f>
        <v>0</v>
      </c>
      <c r="DJ166" s="5">
        <f>($A166-2017)/((4-1)*$D$4)*CH166+(2017+4*$D$4-$A166)/((4-1)*$D$4)*CI166</f>
        <v>0</v>
      </c>
      <c r="DK166" s="5">
        <f>($A166-2018)/((4-1)*$D$4)*CI166+(2018+4*$D$4-$A166)/((4-1)*$D$4)*CJ166</f>
        <v>0</v>
      </c>
    </row>
    <row r="167">
      <c r="A167" s="3" t="n">
        <v>2012</v>
      </c>
      <c r="B167" s="5">
        <f>IF(AND($A167&gt;=1992,$A167&lt;1993),1,0)</f>
        <v>0</v>
      </c>
      <c r="C167" s="5">
        <f>IF(AND($A167&gt;=1993,$A167&lt;1994),1,0)</f>
        <v>0</v>
      </c>
      <c r="D167" s="5">
        <f>IF(AND($A167&gt;=1994,$A167&lt;1995),1,0)</f>
        <v>0</v>
      </c>
      <c r="E167" s="5">
        <f>IF(AND($A167&gt;=1995,$A167&lt;1996),1,0)</f>
        <v>0</v>
      </c>
      <c r="F167" s="5">
        <f>IF(AND($A167&gt;=1996,$A167&lt;1997),1,0)</f>
        <v>0</v>
      </c>
      <c r="G167" s="5">
        <f>IF(AND($A167&gt;=1997,$A167&lt;1998),1,0)</f>
        <v>0</v>
      </c>
      <c r="H167" s="5">
        <f>IF(AND($A167&gt;=1998,$A167&lt;1999),1,0)</f>
        <v>0</v>
      </c>
      <c r="I167" s="5">
        <f>IF(AND($A167&gt;=1999,$A167&lt;2000),1,0)</f>
        <v>0</v>
      </c>
      <c r="J167" s="5">
        <f>IF(AND($A167&gt;=2000,$A167&lt;2001),1,0)</f>
        <v>0</v>
      </c>
      <c r="K167" s="5">
        <f>IF(AND($A167&gt;=2001,$A167&lt;2002),1,0)</f>
        <v>0</v>
      </c>
      <c r="L167" s="5">
        <f>IF(AND($A167&gt;=2002,$A167&lt;2003),1,0)</f>
        <v>0</v>
      </c>
      <c r="M167" s="5">
        <f>IF(AND($A167&gt;=2003,$A167&lt;2004),1,0)</f>
        <v>0</v>
      </c>
      <c r="N167" s="5">
        <f>IF(AND($A167&gt;=2004,$A167&lt;2005),1,0)</f>
        <v>0</v>
      </c>
      <c r="O167" s="5">
        <f>IF(AND($A167&gt;=2005,$A167&lt;2006),1,0)</f>
        <v>0</v>
      </c>
      <c r="P167" s="5">
        <f>IF(AND($A167&gt;=2006,$A167&lt;2007),1,0)</f>
        <v>0</v>
      </c>
      <c r="Q167" s="5">
        <f>IF(AND($A167&gt;=2007,$A167&lt;2008),1,0)</f>
        <v>0</v>
      </c>
      <c r="R167" s="5">
        <f>IF(AND($A167&gt;=2008,$A167&lt;2009),1,0)</f>
        <v>0</v>
      </c>
      <c r="S167" s="5">
        <f>IF(AND($A167&gt;=2009,$A167&lt;2010),1,0)</f>
        <v>0</v>
      </c>
      <c r="T167" s="5">
        <f>IF(AND($A167&gt;=2010,$A167&lt;2011),1,0)</f>
        <v>0</v>
      </c>
      <c r="U167" s="5">
        <f>IF(AND($A167&gt;=2011,$A167&lt;2012),1,0)</f>
        <v>0</v>
      </c>
      <c r="V167" s="5">
        <f>IF(AND($A167&gt;=2012,$A167&lt;2013),1,0)</f>
        <v>1</v>
      </c>
      <c r="W167" s="5">
        <f>IF(AND($A167&gt;=2013,$A167&lt;2014),1,0)</f>
        <v>0</v>
      </c>
      <c r="X167" s="5">
        <f>IF(AND($A167&gt;=2014,$A167&lt;2015),1,0)</f>
        <v>0</v>
      </c>
      <c r="Y167" s="5">
        <f>IF(AND($A167&gt;=2015,$A167&lt;2016),1,0)</f>
        <v>0</v>
      </c>
      <c r="Z167" s="5">
        <f>IF(AND($A167&gt;=2016,$A167&lt;2017),1,0)</f>
        <v>0</v>
      </c>
      <c r="AA167" s="5">
        <f>IF(AND($A167&gt;=2017,$A167&lt;2018),1,0)</f>
        <v>0</v>
      </c>
      <c r="AB167" s="5">
        <f>IF(AND($A167&gt;=2018,$A167&lt;2019),1,0)</f>
        <v>0</v>
      </c>
      <c r="AC167" s="5">
        <f>IF(AND($A167&gt;=2019,$A167&lt;2020),1,0)</f>
        <v>0</v>
      </c>
      <c r="AD167" s="5">
        <f>IF(AND($A167&gt;=2020,$A167&lt;2021),1,0)</f>
        <v>0</v>
      </c>
      <c r="AE167" s="5">
        <f>IF(AND($A167&gt;=2021,$A167&lt;2022),1,0)</f>
        <v>0</v>
      </c>
      <c r="AF167" s="5">
        <f>($A167-1992)/((2-1)*$D$4)*B167+(1992+2*$D$4-$A167)/((2-1)*$D$4)*C167</f>
        <v>0</v>
      </c>
      <c r="AG167" s="5">
        <f>($A167-1993)/((2-1)*$D$4)*C167+(1993+2*$D$4-$A167)/((2-1)*$D$4)*D167</f>
        <v>0</v>
      </c>
      <c r="AH167" s="5">
        <f>($A167-1994)/((2-1)*$D$4)*D167+(1994+2*$D$4-$A167)/((2-1)*$D$4)*E167</f>
        <v>0</v>
      </c>
      <c r="AI167" s="5">
        <f>($A167-1995)/((2-1)*$D$4)*E167+(1995+2*$D$4-$A167)/((2-1)*$D$4)*F167</f>
        <v>0</v>
      </c>
      <c r="AJ167" s="5">
        <f>($A167-1996)/((2-1)*$D$4)*F167+(1996+2*$D$4-$A167)/((2-1)*$D$4)*G167</f>
        <v>0</v>
      </c>
      <c r="AK167" s="5">
        <f>($A167-1997)/((2-1)*$D$4)*G167+(1997+2*$D$4-$A167)/((2-1)*$D$4)*H167</f>
        <v>0</v>
      </c>
      <c r="AL167" s="5">
        <f>($A167-1998)/((2-1)*$D$4)*H167+(1998+2*$D$4-$A167)/((2-1)*$D$4)*I167</f>
        <v>0</v>
      </c>
      <c r="AM167" s="5">
        <f>($A167-1999)/((2-1)*$D$4)*I167+(1999+2*$D$4-$A167)/((2-1)*$D$4)*J167</f>
        <v>0</v>
      </c>
      <c r="AN167" s="5">
        <f>($A167-2000)/((2-1)*$D$4)*J167+(2000+2*$D$4-$A167)/((2-1)*$D$4)*K167</f>
        <v>0</v>
      </c>
      <c r="AO167" s="5">
        <f>($A167-2001)/((2-1)*$D$4)*K167+(2001+2*$D$4-$A167)/((2-1)*$D$4)*L167</f>
        <v>0</v>
      </c>
      <c r="AP167" s="5">
        <f>($A167-2002)/((2-1)*$D$4)*L167+(2002+2*$D$4-$A167)/((2-1)*$D$4)*M167</f>
        <v>0</v>
      </c>
      <c r="AQ167" s="5">
        <f>($A167-2003)/((2-1)*$D$4)*M167+(2003+2*$D$4-$A167)/((2-1)*$D$4)*N167</f>
        <v>0</v>
      </c>
      <c r="AR167" s="5">
        <f>($A167-2004)/((2-1)*$D$4)*N167+(2004+2*$D$4-$A167)/((2-1)*$D$4)*O167</f>
        <v>0</v>
      </c>
      <c r="AS167" s="5">
        <f>($A167-2005)/((2-1)*$D$4)*O167+(2005+2*$D$4-$A167)/((2-1)*$D$4)*P167</f>
        <v>0</v>
      </c>
      <c r="AT167" s="5">
        <f>($A167-2006)/((2-1)*$D$4)*P167+(2006+2*$D$4-$A167)/((2-1)*$D$4)*Q167</f>
        <v>0</v>
      </c>
      <c r="AU167" s="5">
        <f>($A167-2007)/((2-1)*$D$4)*Q167+(2007+2*$D$4-$A167)/((2-1)*$D$4)*R167</f>
        <v>0</v>
      </c>
      <c r="AV167" s="5">
        <f>($A167-2008)/((2-1)*$D$4)*R167+(2008+2*$D$4-$A167)/((2-1)*$D$4)*S167</f>
        <v>0</v>
      </c>
      <c r="AW167" s="5">
        <f>($A167-2009)/((2-1)*$D$4)*S167+(2009+2*$D$4-$A167)/((2-1)*$D$4)*T167</f>
        <v>0</v>
      </c>
      <c r="AX167" s="5">
        <f>($A167-2010)/((2-1)*$D$4)*T167+(2010+2*$D$4-$A167)/((2-1)*$D$4)*U167</f>
        <v>0</v>
      </c>
      <c r="AY167" s="5">
        <f>($A167-2011)/((2-1)*$D$4)*U167+(2011+2*$D$4-$A167)/((2-1)*$D$4)*V167</f>
        <v>1</v>
      </c>
      <c r="AZ167" s="5">
        <f>($A167-2012)/((2-1)*$D$4)*V167+(2012+2*$D$4-$A167)/((2-1)*$D$4)*W167</f>
        <v>0</v>
      </c>
      <c r="BA167" s="5">
        <f>($A167-2013)/((2-1)*$D$4)*W167+(2013+2*$D$4-$A167)/((2-1)*$D$4)*X167</f>
        <v>0</v>
      </c>
      <c r="BB167" s="5">
        <f>($A167-2014)/((2-1)*$D$4)*X167+(2014+2*$D$4-$A167)/((2-1)*$D$4)*Y167</f>
        <v>0</v>
      </c>
      <c r="BC167" s="5">
        <f>($A167-2015)/((2-1)*$D$4)*Y167+(2015+2*$D$4-$A167)/((2-1)*$D$4)*Z167</f>
        <v>0</v>
      </c>
      <c r="BD167" s="5">
        <f>($A167-2016)/((2-1)*$D$4)*Z167+(2016+2*$D$4-$A167)/((2-1)*$D$4)*AA167</f>
        <v>0</v>
      </c>
      <c r="BE167" s="5">
        <f>($A167-2017)/((2-1)*$D$4)*AA167+(2017+2*$D$4-$A167)/((2-1)*$D$4)*AB167</f>
        <v>0</v>
      </c>
      <c r="BF167" s="5">
        <f>($A167-2018)/((2-1)*$D$4)*AB167+(2018+2*$D$4-$A167)/((2-1)*$D$4)*AC167</f>
        <v>0</v>
      </c>
      <c r="BG167" s="5">
        <f>($A167-2019)/((2-1)*$D$4)*AC167+(2019+2*$D$4-$A167)/((2-1)*$D$4)*AD167</f>
        <v>0</v>
      </c>
      <c r="BH167" s="5">
        <f>($A167-2020)/((2-1)*$D$4)*AD167+(2020+2*$D$4-$A167)/((2-1)*$D$4)*AE167</f>
        <v>0</v>
      </c>
      <c r="BI167" s="5">
        <f>($A167-1992)/((3-1)*$D$4)*AF167+(1992+3*$D$4-$A167)/((3-1)*$D$4)*AG167</f>
        <v>0</v>
      </c>
      <c r="BJ167" s="5">
        <f>($A167-1993)/((3-1)*$D$4)*AG167+(1993+3*$D$4-$A167)/((3-1)*$D$4)*AH167</f>
        <v>0</v>
      </c>
      <c r="BK167" s="5">
        <f>($A167-1994)/((3-1)*$D$4)*AH167+(1994+3*$D$4-$A167)/((3-1)*$D$4)*AI167</f>
        <v>0</v>
      </c>
      <c r="BL167" s="5">
        <f>($A167-1995)/((3-1)*$D$4)*AI167+(1995+3*$D$4-$A167)/((3-1)*$D$4)*AJ167</f>
        <v>0</v>
      </c>
      <c r="BM167" s="5">
        <f>($A167-1996)/((3-1)*$D$4)*AJ167+(1996+3*$D$4-$A167)/((3-1)*$D$4)*AK167</f>
        <v>0</v>
      </c>
      <c r="BN167" s="5">
        <f>($A167-1997)/((3-1)*$D$4)*AK167+(1997+3*$D$4-$A167)/((3-1)*$D$4)*AL167</f>
        <v>0</v>
      </c>
      <c r="BO167" s="5">
        <f>($A167-1998)/((3-1)*$D$4)*AL167+(1998+3*$D$4-$A167)/((3-1)*$D$4)*AM167</f>
        <v>0</v>
      </c>
      <c r="BP167" s="5">
        <f>($A167-1999)/((3-1)*$D$4)*AM167+(1999+3*$D$4-$A167)/((3-1)*$D$4)*AN167</f>
        <v>0</v>
      </c>
      <c r="BQ167" s="5">
        <f>($A167-2000)/((3-1)*$D$4)*AN167+(2000+3*$D$4-$A167)/((3-1)*$D$4)*AO167</f>
        <v>0</v>
      </c>
      <c r="BR167" s="5">
        <f>($A167-2001)/((3-1)*$D$4)*AO167+(2001+3*$D$4-$A167)/((3-1)*$D$4)*AP167</f>
        <v>0</v>
      </c>
      <c r="BS167" s="5">
        <f>($A167-2002)/((3-1)*$D$4)*AP167+(2002+3*$D$4-$A167)/((3-1)*$D$4)*AQ167</f>
        <v>0</v>
      </c>
      <c r="BT167" s="5">
        <f>($A167-2003)/((3-1)*$D$4)*AQ167+(2003+3*$D$4-$A167)/((3-1)*$D$4)*AR167</f>
        <v>0</v>
      </c>
      <c r="BU167" s="5">
        <f>($A167-2004)/((3-1)*$D$4)*AR167+(2004+3*$D$4-$A167)/((3-1)*$D$4)*AS167</f>
        <v>0</v>
      </c>
      <c r="BV167" s="5">
        <f>($A167-2005)/((3-1)*$D$4)*AS167+(2005+3*$D$4-$A167)/((3-1)*$D$4)*AT167</f>
        <v>0</v>
      </c>
      <c r="BW167" s="5">
        <f>($A167-2006)/((3-1)*$D$4)*AT167+(2006+3*$D$4-$A167)/((3-1)*$D$4)*AU167</f>
        <v>0</v>
      </c>
      <c r="BX167" s="5">
        <f>($A167-2007)/((3-1)*$D$4)*AU167+(2007+3*$D$4-$A167)/((3-1)*$D$4)*AV167</f>
        <v>0</v>
      </c>
      <c r="BY167" s="5">
        <f>($A167-2008)/((3-1)*$D$4)*AV167+(2008+3*$D$4-$A167)/((3-1)*$D$4)*AW167</f>
        <v>0</v>
      </c>
      <c r="BZ167" s="5">
        <f>($A167-2009)/((3-1)*$D$4)*AW167+(2009+3*$D$4-$A167)/((3-1)*$D$4)*AX167</f>
        <v>0</v>
      </c>
      <c r="CA167" s="5">
        <f>($A167-2010)/((3-1)*$D$4)*AX167+(2010+3*$D$4-$A167)/((3-1)*$D$4)*AY167</f>
        <v>0.5</v>
      </c>
      <c r="CB167" s="5">
        <f>($A167-2011)/((3-1)*$D$4)*AY167+(2011+3*$D$4-$A167)/((3-1)*$D$4)*AZ167</f>
        <v>0.5</v>
      </c>
      <c r="CC167" s="5">
        <f>($A167-2012)/((3-1)*$D$4)*AZ167+(2012+3*$D$4-$A167)/((3-1)*$D$4)*BA167</f>
        <v>0</v>
      </c>
      <c r="CD167" s="5">
        <f>($A167-2013)/((3-1)*$D$4)*BA167+(2013+3*$D$4-$A167)/((3-1)*$D$4)*BB167</f>
        <v>0</v>
      </c>
      <c r="CE167" s="5">
        <f>($A167-2014)/((3-1)*$D$4)*BB167+(2014+3*$D$4-$A167)/((3-1)*$D$4)*BC167</f>
        <v>0</v>
      </c>
      <c r="CF167" s="5">
        <f>($A167-2015)/((3-1)*$D$4)*BC167+(2015+3*$D$4-$A167)/((3-1)*$D$4)*BD167</f>
        <v>0</v>
      </c>
      <c r="CG167" s="5">
        <f>($A167-2016)/((3-1)*$D$4)*BD167+(2016+3*$D$4-$A167)/((3-1)*$D$4)*BE167</f>
        <v>0</v>
      </c>
      <c r="CH167" s="5">
        <f>($A167-2017)/((3-1)*$D$4)*BE167+(2017+3*$D$4-$A167)/((3-1)*$D$4)*BF167</f>
        <v>0</v>
      </c>
      <c r="CI167" s="5">
        <f>($A167-2018)/((3-1)*$D$4)*BF167+(2018+3*$D$4-$A167)/((3-1)*$D$4)*BG167</f>
        <v>0</v>
      </c>
      <c r="CJ167" s="5">
        <f>($A167-2019)/((3-1)*$D$4)*BG167+(2019+3*$D$4-$A167)/((3-1)*$D$4)*BH167</f>
        <v>0</v>
      </c>
      <c r="CK167" s="5">
        <f>($A167-1992)/((4-1)*$D$4)*BI167+(1992+4*$D$4-$A167)/((4-1)*$D$4)*BJ167</f>
        <v>0</v>
      </c>
      <c r="CL167" s="5">
        <f>($A167-1993)/((4-1)*$D$4)*BJ167+(1993+4*$D$4-$A167)/((4-1)*$D$4)*BK167</f>
        <v>0</v>
      </c>
      <c r="CM167" s="5">
        <f>($A167-1994)/((4-1)*$D$4)*BK167+(1994+4*$D$4-$A167)/((4-1)*$D$4)*BL167</f>
        <v>0</v>
      </c>
      <c r="CN167" s="5">
        <f>($A167-1995)/((4-1)*$D$4)*BL167+(1995+4*$D$4-$A167)/((4-1)*$D$4)*BM167</f>
        <v>0</v>
      </c>
      <c r="CO167" s="5">
        <f>($A167-1996)/((4-1)*$D$4)*BM167+(1996+4*$D$4-$A167)/((4-1)*$D$4)*BN167</f>
        <v>0</v>
      </c>
      <c r="CP167" s="5">
        <f>($A167-1997)/((4-1)*$D$4)*BN167+(1997+4*$D$4-$A167)/((4-1)*$D$4)*BO167</f>
        <v>0</v>
      </c>
      <c r="CQ167" s="5">
        <f>($A167-1998)/((4-1)*$D$4)*BO167+(1998+4*$D$4-$A167)/((4-1)*$D$4)*BP167</f>
        <v>0</v>
      </c>
      <c r="CR167" s="5">
        <f>($A167-1999)/((4-1)*$D$4)*BP167+(1999+4*$D$4-$A167)/((4-1)*$D$4)*BQ167</f>
        <v>0</v>
      </c>
      <c r="CS167" s="5">
        <f>($A167-2000)/((4-1)*$D$4)*BQ167+(2000+4*$D$4-$A167)/((4-1)*$D$4)*BR167</f>
        <v>0</v>
      </c>
      <c r="CT167" s="5">
        <f>($A167-2001)/((4-1)*$D$4)*BR167+(2001+4*$D$4-$A167)/((4-1)*$D$4)*BS167</f>
        <v>0</v>
      </c>
      <c r="CU167" s="5">
        <f>($A167-2002)/((4-1)*$D$4)*BS167+(2002+4*$D$4-$A167)/((4-1)*$D$4)*BT167</f>
        <v>0</v>
      </c>
      <c r="CV167" s="5">
        <f>($A167-2003)/((4-1)*$D$4)*BT167+(2003+4*$D$4-$A167)/((4-1)*$D$4)*BU167</f>
        <v>0</v>
      </c>
      <c r="CW167" s="5">
        <f>($A167-2004)/((4-1)*$D$4)*BU167+(2004+4*$D$4-$A167)/((4-1)*$D$4)*BV167</f>
        <v>0</v>
      </c>
      <c r="CX167" s="5">
        <f>($A167-2005)/((4-1)*$D$4)*BV167+(2005+4*$D$4-$A167)/((4-1)*$D$4)*BW167</f>
        <v>0</v>
      </c>
      <c r="CY167" s="5">
        <f>($A167-2006)/((4-1)*$D$4)*BW167+(2006+4*$D$4-$A167)/((4-1)*$D$4)*BX167</f>
        <v>0</v>
      </c>
      <c r="CZ167" s="5">
        <f>($A167-2007)/((4-1)*$D$4)*BX167+(2007+4*$D$4-$A167)/((4-1)*$D$4)*BY167</f>
        <v>0</v>
      </c>
      <c r="DA167" s="5">
        <f>($A167-2008)/((4-1)*$D$4)*BY167+(2008+4*$D$4-$A167)/((4-1)*$D$4)*BZ167</f>
        <v>0</v>
      </c>
      <c r="DB167" s="5">
        <f>($A167-2009)/((4-1)*$D$4)*BZ167+(2009+4*$D$4-$A167)/((4-1)*$D$4)*CA167</f>
        <v>0.16666666666666666</v>
      </c>
      <c r="DC167" s="5">
        <f>($A167-2010)/((4-1)*$D$4)*CA167+(2010+4*$D$4-$A167)/((4-1)*$D$4)*CB167</f>
        <v>0.66666666666666663</v>
      </c>
      <c r="DD167" s="5">
        <f>($A167-2011)/((4-1)*$D$4)*CB167+(2011+4*$D$4-$A167)/((4-1)*$D$4)*CC167</f>
        <v>0.16666666666666666</v>
      </c>
      <c r="DE167" s="5">
        <f>($A167-2012)/((4-1)*$D$4)*CC167+(2012+4*$D$4-$A167)/((4-1)*$D$4)*CD167</f>
        <v>0</v>
      </c>
      <c r="DF167" s="5">
        <f>($A167-2013)/((4-1)*$D$4)*CD167+(2013+4*$D$4-$A167)/((4-1)*$D$4)*CE167</f>
        <v>0</v>
      </c>
      <c r="DG167" s="5">
        <f>($A167-2014)/((4-1)*$D$4)*CE167+(2014+4*$D$4-$A167)/((4-1)*$D$4)*CF167</f>
        <v>0</v>
      </c>
      <c r="DH167" s="5">
        <f>($A167-2015)/((4-1)*$D$4)*CF167+(2015+4*$D$4-$A167)/((4-1)*$D$4)*CG167</f>
        <v>0</v>
      </c>
      <c r="DI167" s="5">
        <f>($A167-2016)/((4-1)*$D$4)*CG167+(2016+4*$D$4-$A167)/((4-1)*$D$4)*CH167</f>
        <v>0</v>
      </c>
      <c r="DJ167" s="5">
        <f>($A167-2017)/((4-1)*$D$4)*CH167+(2017+4*$D$4-$A167)/((4-1)*$D$4)*CI167</f>
        <v>0</v>
      </c>
      <c r="DK167" s="5">
        <f>($A167-2018)/((4-1)*$D$4)*CI167+(2018+4*$D$4-$A167)/((4-1)*$D$4)*CJ167</f>
        <v>0</v>
      </c>
    </row>
    <row r="168">
      <c r="A168" s="3" t="n">
        <v>2013</v>
      </c>
      <c r="B168" s="5">
        <f>IF(AND($A168&gt;=1992,$A168&lt;1993),1,0)</f>
        <v>0</v>
      </c>
      <c r="C168" s="5">
        <f>IF(AND($A168&gt;=1993,$A168&lt;1994),1,0)</f>
        <v>0</v>
      </c>
      <c r="D168" s="5">
        <f>IF(AND($A168&gt;=1994,$A168&lt;1995),1,0)</f>
        <v>0</v>
      </c>
      <c r="E168" s="5">
        <f>IF(AND($A168&gt;=1995,$A168&lt;1996),1,0)</f>
        <v>0</v>
      </c>
      <c r="F168" s="5">
        <f>IF(AND($A168&gt;=1996,$A168&lt;1997),1,0)</f>
        <v>0</v>
      </c>
      <c r="G168" s="5">
        <f>IF(AND($A168&gt;=1997,$A168&lt;1998),1,0)</f>
        <v>0</v>
      </c>
      <c r="H168" s="5">
        <f>IF(AND($A168&gt;=1998,$A168&lt;1999),1,0)</f>
        <v>0</v>
      </c>
      <c r="I168" s="5">
        <f>IF(AND($A168&gt;=1999,$A168&lt;2000),1,0)</f>
        <v>0</v>
      </c>
      <c r="J168" s="5">
        <f>IF(AND($A168&gt;=2000,$A168&lt;2001),1,0)</f>
        <v>0</v>
      </c>
      <c r="K168" s="5">
        <f>IF(AND($A168&gt;=2001,$A168&lt;2002),1,0)</f>
        <v>0</v>
      </c>
      <c r="L168" s="5">
        <f>IF(AND($A168&gt;=2002,$A168&lt;2003),1,0)</f>
        <v>0</v>
      </c>
      <c r="M168" s="5">
        <f>IF(AND($A168&gt;=2003,$A168&lt;2004),1,0)</f>
        <v>0</v>
      </c>
      <c r="N168" s="5">
        <f>IF(AND($A168&gt;=2004,$A168&lt;2005),1,0)</f>
        <v>0</v>
      </c>
      <c r="O168" s="5">
        <f>IF(AND($A168&gt;=2005,$A168&lt;2006),1,0)</f>
        <v>0</v>
      </c>
      <c r="P168" s="5">
        <f>IF(AND($A168&gt;=2006,$A168&lt;2007),1,0)</f>
        <v>0</v>
      </c>
      <c r="Q168" s="5">
        <f>IF(AND($A168&gt;=2007,$A168&lt;2008),1,0)</f>
        <v>0</v>
      </c>
      <c r="R168" s="5">
        <f>IF(AND($A168&gt;=2008,$A168&lt;2009),1,0)</f>
        <v>0</v>
      </c>
      <c r="S168" s="5">
        <f>IF(AND($A168&gt;=2009,$A168&lt;2010),1,0)</f>
        <v>0</v>
      </c>
      <c r="T168" s="5">
        <f>IF(AND($A168&gt;=2010,$A168&lt;2011),1,0)</f>
        <v>0</v>
      </c>
      <c r="U168" s="5">
        <f>IF(AND($A168&gt;=2011,$A168&lt;2012),1,0)</f>
        <v>0</v>
      </c>
      <c r="V168" s="5">
        <f>IF(AND($A168&gt;=2012,$A168&lt;2013),1,0)</f>
        <v>0</v>
      </c>
      <c r="W168" s="5">
        <f>IF(AND($A168&gt;=2013,$A168&lt;2014),1,0)</f>
        <v>1</v>
      </c>
      <c r="X168" s="5">
        <f>IF(AND($A168&gt;=2014,$A168&lt;2015),1,0)</f>
        <v>0</v>
      </c>
      <c r="Y168" s="5">
        <f>IF(AND($A168&gt;=2015,$A168&lt;2016),1,0)</f>
        <v>0</v>
      </c>
      <c r="Z168" s="5">
        <f>IF(AND($A168&gt;=2016,$A168&lt;2017),1,0)</f>
        <v>0</v>
      </c>
      <c r="AA168" s="5">
        <f>IF(AND($A168&gt;=2017,$A168&lt;2018),1,0)</f>
        <v>0</v>
      </c>
      <c r="AB168" s="5">
        <f>IF(AND($A168&gt;=2018,$A168&lt;2019),1,0)</f>
        <v>0</v>
      </c>
      <c r="AC168" s="5">
        <f>IF(AND($A168&gt;=2019,$A168&lt;2020),1,0)</f>
        <v>0</v>
      </c>
      <c r="AD168" s="5">
        <f>IF(AND($A168&gt;=2020,$A168&lt;2021),1,0)</f>
        <v>0</v>
      </c>
      <c r="AE168" s="5">
        <f>IF(AND($A168&gt;=2021,$A168&lt;2022),1,0)</f>
        <v>0</v>
      </c>
      <c r="AF168" s="5">
        <f>($A168-1992)/((2-1)*$D$4)*B168+(1992+2*$D$4-$A168)/((2-1)*$D$4)*C168</f>
        <v>0</v>
      </c>
      <c r="AG168" s="5">
        <f>($A168-1993)/((2-1)*$D$4)*C168+(1993+2*$D$4-$A168)/((2-1)*$D$4)*D168</f>
        <v>0</v>
      </c>
      <c r="AH168" s="5">
        <f>($A168-1994)/((2-1)*$D$4)*D168+(1994+2*$D$4-$A168)/((2-1)*$D$4)*E168</f>
        <v>0</v>
      </c>
      <c r="AI168" s="5">
        <f>($A168-1995)/((2-1)*$D$4)*E168+(1995+2*$D$4-$A168)/((2-1)*$D$4)*F168</f>
        <v>0</v>
      </c>
      <c r="AJ168" s="5">
        <f>($A168-1996)/((2-1)*$D$4)*F168+(1996+2*$D$4-$A168)/((2-1)*$D$4)*G168</f>
        <v>0</v>
      </c>
      <c r="AK168" s="5">
        <f>($A168-1997)/((2-1)*$D$4)*G168+(1997+2*$D$4-$A168)/((2-1)*$D$4)*H168</f>
        <v>0</v>
      </c>
      <c r="AL168" s="5">
        <f>($A168-1998)/((2-1)*$D$4)*H168+(1998+2*$D$4-$A168)/((2-1)*$D$4)*I168</f>
        <v>0</v>
      </c>
      <c r="AM168" s="5">
        <f>($A168-1999)/((2-1)*$D$4)*I168+(1999+2*$D$4-$A168)/((2-1)*$D$4)*J168</f>
        <v>0</v>
      </c>
      <c r="AN168" s="5">
        <f>($A168-2000)/((2-1)*$D$4)*J168+(2000+2*$D$4-$A168)/((2-1)*$D$4)*K168</f>
        <v>0</v>
      </c>
      <c r="AO168" s="5">
        <f>($A168-2001)/((2-1)*$D$4)*K168+(2001+2*$D$4-$A168)/((2-1)*$D$4)*L168</f>
        <v>0</v>
      </c>
      <c r="AP168" s="5">
        <f>($A168-2002)/((2-1)*$D$4)*L168+(2002+2*$D$4-$A168)/((2-1)*$D$4)*M168</f>
        <v>0</v>
      </c>
      <c r="AQ168" s="5">
        <f>($A168-2003)/((2-1)*$D$4)*M168+(2003+2*$D$4-$A168)/((2-1)*$D$4)*N168</f>
        <v>0</v>
      </c>
      <c r="AR168" s="5">
        <f>($A168-2004)/((2-1)*$D$4)*N168+(2004+2*$D$4-$A168)/((2-1)*$D$4)*O168</f>
        <v>0</v>
      </c>
      <c r="AS168" s="5">
        <f>($A168-2005)/((2-1)*$D$4)*O168+(2005+2*$D$4-$A168)/((2-1)*$D$4)*P168</f>
        <v>0</v>
      </c>
      <c r="AT168" s="5">
        <f>($A168-2006)/((2-1)*$D$4)*P168+(2006+2*$D$4-$A168)/((2-1)*$D$4)*Q168</f>
        <v>0</v>
      </c>
      <c r="AU168" s="5">
        <f>($A168-2007)/((2-1)*$D$4)*Q168+(2007+2*$D$4-$A168)/((2-1)*$D$4)*R168</f>
        <v>0</v>
      </c>
      <c r="AV168" s="5">
        <f>($A168-2008)/((2-1)*$D$4)*R168+(2008+2*$D$4-$A168)/((2-1)*$D$4)*S168</f>
        <v>0</v>
      </c>
      <c r="AW168" s="5">
        <f>($A168-2009)/((2-1)*$D$4)*S168+(2009+2*$D$4-$A168)/((2-1)*$D$4)*T168</f>
        <v>0</v>
      </c>
      <c r="AX168" s="5">
        <f>($A168-2010)/((2-1)*$D$4)*T168+(2010+2*$D$4-$A168)/((2-1)*$D$4)*U168</f>
        <v>0</v>
      </c>
      <c r="AY168" s="5">
        <f>($A168-2011)/((2-1)*$D$4)*U168+(2011+2*$D$4-$A168)/((2-1)*$D$4)*V168</f>
        <v>0</v>
      </c>
      <c r="AZ168" s="5">
        <f>($A168-2012)/((2-1)*$D$4)*V168+(2012+2*$D$4-$A168)/((2-1)*$D$4)*W168</f>
        <v>1</v>
      </c>
      <c r="BA168" s="5">
        <f>($A168-2013)/((2-1)*$D$4)*W168+(2013+2*$D$4-$A168)/((2-1)*$D$4)*X168</f>
        <v>0</v>
      </c>
      <c r="BB168" s="5">
        <f>($A168-2014)/((2-1)*$D$4)*X168+(2014+2*$D$4-$A168)/((2-1)*$D$4)*Y168</f>
        <v>0</v>
      </c>
      <c r="BC168" s="5">
        <f>($A168-2015)/((2-1)*$D$4)*Y168+(2015+2*$D$4-$A168)/((2-1)*$D$4)*Z168</f>
        <v>0</v>
      </c>
      <c r="BD168" s="5">
        <f>($A168-2016)/((2-1)*$D$4)*Z168+(2016+2*$D$4-$A168)/((2-1)*$D$4)*AA168</f>
        <v>0</v>
      </c>
      <c r="BE168" s="5">
        <f>($A168-2017)/((2-1)*$D$4)*AA168+(2017+2*$D$4-$A168)/((2-1)*$D$4)*AB168</f>
        <v>0</v>
      </c>
      <c r="BF168" s="5">
        <f>($A168-2018)/((2-1)*$D$4)*AB168+(2018+2*$D$4-$A168)/((2-1)*$D$4)*AC168</f>
        <v>0</v>
      </c>
      <c r="BG168" s="5">
        <f>($A168-2019)/((2-1)*$D$4)*AC168+(2019+2*$D$4-$A168)/((2-1)*$D$4)*AD168</f>
        <v>0</v>
      </c>
      <c r="BH168" s="5">
        <f>($A168-2020)/((2-1)*$D$4)*AD168+(2020+2*$D$4-$A168)/((2-1)*$D$4)*AE168</f>
        <v>0</v>
      </c>
      <c r="BI168" s="5">
        <f>($A168-1992)/((3-1)*$D$4)*AF168+(1992+3*$D$4-$A168)/((3-1)*$D$4)*AG168</f>
        <v>0</v>
      </c>
      <c r="BJ168" s="5">
        <f>($A168-1993)/((3-1)*$D$4)*AG168+(1993+3*$D$4-$A168)/((3-1)*$D$4)*AH168</f>
        <v>0</v>
      </c>
      <c r="BK168" s="5">
        <f>($A168-1994)/((3-1)*$D$4)*AH168+(1994+3*$D$4-$A168)/((3-1)*$D$4)*AI168</f>
        <v>0</v>
      </c>
      <c r="BL168" s="5">
        <f>($A168-1995)/((3-1)*$D$4)*AI168+(1995+3*$D$4-$A168)/((3-1)*$D$4)*AJ168</f>
        <v>0</v>
      </c>
      <c r="BM168" s="5">
        <f>($A168-1996)/((3-1)*$D$4)*AJ168+(1996+3*$D$4-$A168)/((3-1)*$D$4)*AK168</f>
        <v>0</v>
      </c>
      <c r="BN168" s="5">
        <f>($A168-1997)/((3-1)*$D$4)*AK168+(1997+3*$D$4-$A168)/((3-1)*$D$4)*AL168</f>
        <v>0</v>
      </c>
      <c r="BO168" s="5">
        <f>($A168-1998)/((3-1)*$D$4)*AL168+(1998+3*$D$4-$A168)/((3-1)*$D$4)*AM168</f>
        <v>0</v>
      </c>
      <c r="BP168" s="5">
        <f>($A168-1999)/((3-1)*$D$4)*AM168+(1999+3*$D$4-$A168)/((3-1)*$D$4)*AN168</f>
        <v>0</v>
      </c>
      <c r="BQ168" s="5">
        <f>($A168-2000)/((3-1)*$D$4)*AN168+(2000+3*$D$4-$A168)/((3-1)*$D$4)*AO168</f>
        <v>0</v>
      </c>
      <c r="BR168" s="5">
        <f>($A168-2001)/((3-1)*$D$4)*AO168+(2001+3*$D$4-$A168)/((3-1)*$D$4)*AP168</f>
        <v>0</v>
      </c>
      <c r="BS168" s="5">
        <f>($A168-2002)/((3-1)*$D$4)*AP168+(2002+3*$D$4-$A168)/((3-1)*$D$4)*AQ168</f>
        <v>0</v>
      </c>
      <c r="BT168" s="5">
        <f>($A168-2003)/((3-1)*$D$4)*AQ168+(2003+3*$D$4-$A168)/((3-1)*$D$4)*AR168</f>
        <v>0</v>
      </c>
      <c r="BU168" s="5">
        <f>($A168-2004)/((3-1)*$D$4)*AR168+(2004+3*$D$4-$A168)/((3-1)*$D$4)*AS168</f>
        <v>0</v>
      </c>
      <c r="BV168" s="5">
        <f>($A168-2005)/((3-1)*$D$4)*AS168+(2005+3*$D$4-$A168)/((3-1)*$D$4)*AT168</f>
        <v>0</v>
      </c>
      <c r="BW168" s="5">
        <f>($A168-2006)/((3-1)*$D$4)*AT168+(2006+3*$D$4-$A168)/((3-1)*$D$4)*AU168</f>
        <v>0</v>
      </c>
      <c r="BX168" s="5">
        <f>($A168-2007)/((3-1)*$D$4)*AU168+(2007+3*$D$4-$A168)/((3-1)*$D$4)*AV168</f>
        <v>0</v>
      </c>
      <c r="BY168" s="5">
        <f>($A168-2008)/((3-1)*$D$4)*AV168+(2008+3*$D$4-$A168)/((3-1)*$D$4)*AW168</f>
        <v>0</v>
      </c>
      <c r="BZ168" s="5">
        <f>($A168-2009)/((3-1)*$D$4)*AW168+(2009+3*$D$4-$A168)/((3-1)*$D$4)*AX168</f>
        <v>0</v>
      </c>
      <c r="CA168" s="5">
        <f>($A168-2010)/((3-1)*$D$4)*AX168+(2010+3*$D$4-$A168)/((3-1)*$D$4)*AY168</f>
        <v>0</v>
      </c>
      <c r="CB168" s="5">
        <f>($A168-2011)/((3-1)*$D$4)*AY168+(2011+3*$D$4-$A168)/((3-1)*$D$4)*AZ168</f>
        <v>0.5</v>
      </c>
      <c r="CC168" s="5">
        <f>($A168-2012)/((3-1)*$D$4)*AZ168+(2012+3*$D$4-$A168)/((3-1)*$D$4)*BA168</f>
        <v>0.5</v>
      </c>
      <c r="CD168" s="5">
        <f>($A168-2013)/((3-1)*$D$4)*BA168+(2013+3*$D$4-$A168)/((3-1)*$D$4)*BB168</f>
        <v>0</v>
      </c>
      <c r="CE168" s="5">
        <f>($A168-2014)/((3-1)*$D$4)*BB168+(2014+3*$D$4-$A168)/((3-1)*$D$4)*BC168</f>
        <v>0</v>
      </c>
      <c r="CF168" s="5">
        <f>($A168-2015)/((3-1)*$D$4)*BC168+(2015+3*$D$4-$A168)/((3-1)*$D$4)*BD168</f>
        <v>0</v>
      </c>
      <c r="CG168" s="5">
        <f>($A168-2016)/((3-1)*$D$4)*BD168+(2016+3*$D$4-$A168)/((3-1)*$D$4)*BE168</f>
        <v>0</v>
      </c>
      <c r="CH168" s="5">
        <f>($A168-2017)/((3-1)*$D$4)*BE168+(2017+3*$D$4-$A168)/((3-1)*$D$4)*BF168</f>
        <v>0</v>
      </c>
      <c r="CI168" s="5">
        <f>($A168-2018)/((3-1)*$D$4)*BF168+(2018+3*$D$4-$A168)/((3-1)*$D$4)*BG168</f>
        <v>0</v>
      </c>
      <c r="CJ168" s="5">
        <f>($A168-2019)/((3-1)*$D$4)*BG168+(2019+3*$D$4-$A168)/((3-1)*$D$4)*BH168</f>
        <v>0</v>
      </c>
      <c r="CK168" s="5">
        <f>($A168-1992)/((4-1)*$D$4)*BI168+(1992+4*$D$4-$A168)/((4-1)*$D$4)*BJ168</f>
        <v>0</v>
      </c>
      <c r="CL168" s="5">
        <f>($A168-1993)/((4-1)*$D$4)*BJ168+(1993+4*$D$4-$A168)/((4-1)*$D$4)*BK168</f>
        <v>0</v>
      </c>
      <c r="CM168" s="5">
        <f>($A168-1994)/((4-1)*$D$4)*BK168+(1994+4*$D$4-$A168)/((4-1)*$D$4)*BL168</f>
        <v>0</v>
      </c>
      <c r="CN168" s="5">
        <f>($A168-1995)/((4-1)*$D$4)*BL168+(1995+4*$D$4-$A168)/((4-1)*$D$4)*BM168</f>
        <v>0</v>
      </c>
      <c r="CO168" s="5">
        <f>($A168-1996)/((4-1)*$D$4)*BM168+(1996+4*$D$4-$A168)/((4-1)*$D$4)*BN168</f>
        <v>0</v>
      </c>
      <c r="CP168" s="5">
        <f>($A168-1997)/((4-1)*$D$4)*BN168+(1997+4*$D$4-$A168)/((4-1)*$D$4)*BO168</f>
        <v>0</v>
      </c>
      <c r="CQ168" s="5">
        <f>($A168-1998)/((4-1)*$D$4)*BO168+(1998+4*$D$4-$A168)/((4-1)*$D$4)*BP168</f>
        <v>0</v>
      </c>
      <c r="CR168" s="5">
        <f>($A168-1999)/((4-1)*$D$4)*BP168+(1999+4*$D$4-$A168)/((4-1)*$D$4)*BQ168</f>
        <v>0</v>
      </c>
      <c r="CS168" s="5">
        <f>($A168-2000)/((4-1)*$D$4)*BQ168+(2000+4*$D$4-$A168)/((4-1)*$D$4)*BR168</f>
        <v>0</v>
      </c>
      <c r="CT168" s="5">
        <f>($A168-2001)/((4-1)*$D$4)*BR168+(2001+4*$D$4-$A168)/((4-1)*$D$4)*BS168</f>
        <v>0</v>
      </c>
      <c r="CU168" s="5">
        <f>($A168-2002)/((4-1)*$D$4)*BS168+(2002+4*$D$4-$A168)/((4-1)*$D$4)*BT168</f>
        <v>0</v>
      </c>
      <c r="CV168" s="5">
        <f>($A168-2003)/((4-1)*$D$4)*BT168+(2003+4*$D$4-$A168)/((4-1)*$D$4)*BU168</f>
        <v>0</v>
      </c>
      <c r="CW168" s="5">
        <f>($A168-2004)/((4-1)*$D$4)*BU168+(2004+4*$D$4-$A168)/((4-1)*$D$4)*BV168</f>
        <v>0</v>
      </c>
      <c r="CX168" s="5">
        <f>($A168-2005)/((4-1)*$D$4)*BV168+(2005+4*$D$4-$A168)/((4-1)*$D$4)*BW168</f>
        <v>0</v>
      </c>
      <c r="CY168" s="5">
        <f>($A168-2006)/((4-1)*$D$4)*BW168+(2006+4*$D$4-$A168)/((4-1)*$D$4)*BX168</f>
        <v>0</v>
      </c>
      <c r="CZ168" s="5">
        <f>($A168-2007)/((4-1)*$D$4)*BX168+(2007+4*$D$4-$A168)/((4-1)*$D$4)*BY168</f>
        <v>0</v>
      </c>
      <c r="DA168" s="5">
        <f>($A168-2008)/((4-1)*$D$4)*BY168+(2008+4*$D$4-$A168)/((4-1)*$D$4)*BZ168</f>
        <v>0</v>
      </c>
      <c r="DB168" s="5">
        <f>($A168-2009)/((4-1)*$D$4)*BZ168+(2009+4*$D$4-$A168)/((4-1)*$D$4)*CA168</f>
        <v>0</v>
      </c>
      <c r="DC168" s="5">
        <f>($A168-2010)/((4-1)*$D$4)*CA168+(2010+4*$D$4-$A168)/((4-1)*$D$4)*CB168</f>
        <v>0.16666666666666666</v>
      </c>
      <c r="DD168" s="5">
        <f>($A168-2011)/((4-1)*$D$4)*CB168+(2011+4*$D$4-$A168)/((4-1)*$D$4)*CC168</f>
        <v>0.66666666666666663</v>
      </c>
      <c r="DE168" s="5">
        <f>($A168-2012)/((4-1)*$D$4)*CC168+(2012+4*$D$4-$A168)/((4-1)*$D$4)*CD168</f>
        <v>0.16666666666666666</v>
      </c>
      <c r="DF168" s="5">
        <f>($A168-2013)/((4-1)*$D$4)*CD168+(2013+4*$D$4-$A168)/((4-1)*$D$4)*CE168</f>
        <v>0</v>
      </c>
      <c r="DG168" s="5">
        <f>($A168-2014)/((4-1)*$D$4)*CE168+(2014+4*$D$4-$A168)/((4-1)*$D$4)*CF168</f>
        <v>0</v>
      </c>
      <c r="DH168" s="5">
        <f>($A168-2015)/((4-1)*$D$4)*CF168+(2015+4*$D$4-$A168)/((4-1)*$D$4)*CG168</f>
        <v>0</v>
      </c>
      <c r="DI168" s="5">
        <f>($A168-2016)/((4-1)*$D$4)*CG168+(2016+4*$D$4-$A168)/((4-1)*$D$4)*CH168</f>
        <v>0</v>
      </c>
      <c r="DJ168" s="5">
        <f>($A168-2017)/((4-1)*$D$4)*CH168+(2017+4*$D$4-$A168)/((4-1)*$D$4)*CI168</f>
        <v>0</v>
      </c>
      <c r="DK168" s="5">
        <f>($A168-2018)/((4-1)*$D$4)*CI168+(2018+4*$D$4-$A168)/((4-1)*$D$4)*CJ168</f>
        <v>0</v>
      </c>
    </row>
    <row r="169">
      <c r="A169" s="3" t="n">
        <v>2014</v>
      </c>
      <c r="B169" s="5">
        <f>IF(AND($A169&gt;=1992,$A169&lt;1993),1,0)</f>
        <v>0</v>
      </c>
      <c r="C169" s="5">
        <f>IF(AND($A169&gt;=1993,$A169&lt;1994),1,0)</f>
        <v>0</v>
      </c>
      <c r="D169" s="5">
        <f>IF(AND($A169&gt;=1994,$A169&lt;1995),1,0)</f>
        <v>0</v>
      </c>
      <c r="E169" s="5">
        <f>IF(AND($A169&gt;=1995,$A169&lt;1996),1,0)</f>
        <v>0</v>
      </c>
      <c r="F169" s="5">
        <f>IF(AND($A169&gt;=1996,$A169&lt;1997),1,0)</f>
        <v>0</v>
      </c>
      <c r="G169" s="5">
        <f>IF(AND($A169&gt;=1997,$A169&lt;1998),1,0)</f>
        <v>0</v>
      </c>
      <c r="H169" s="5">
        <f>IF(AND($A169&gt;=1998,$A169&lt;1999),1,0)</f>
        <v>0</v>
      </c>
      <c r="I169" s="5">
        <f>IF(AND($A169&gt;=1999,$A169&lt;2000),1,0)</f>
        <v>0</v>
      </c>
      <c r="J169" s="5">
        <f>IF(AND($A169&gt;=2000,$A169&lt;2001),1,0)</f>
        <v>0</v>
      </c>
      <c r="K169" s="5">
        <f>IF(AND($A169&gt;=2001,$A169&lt;2002),1,0)</f>
        <v>0</v>
      </c>
      <c r="L169" s="5">
        <f>IF(AND($A169&gt;=2002,$A169&lt;2003),1,0)</f>
        <v>0</v>
      </c>
      <c r="M169" s="5">
        <f>IF(AND($A169&gt;=2003,$A169&lt;2004),1,0)</f>
        <v>0</v>
      </c>
      <c r="N169" s="5">
        <f>IF(AND($A169&gt;=2004,$A169&lt;2005),1,0)</f>
        <v>0</v>
      </c>
      <c r="O169" s="5">
        <f>IF(AND($A169&gt;=2005,$A169&lt;2006),1,0)</f>
        <v>0</v>
      </c>
      <c r="P169" s="5">
        <f>IF(AND($A169&gt;=2006,$A169&lt;2007),1,0)</f>
        <v>0</v>
      </c>
      <c r="Q169" s="5">
        <f>IF(AND($A169&gt;=2007,$A169&lt;2008),1,0)</f>
        <v>0</v>
      </c>
      <c r="R169" s="5">
        <f>IF(AND($A169&gt;=2008,$A169&lt;2009),1,0)</f>
        <v>0</v>
      </c>
      <c r="S169" s="5">
        <f>IF(AND($A169&gt;=2009,$A169&lt;2010),1,0)</f>
        <v>0</v>
      </c>
      <c r="T169" s="5">
        <f>IF(AND($A169&gt;=2010,$A169&lt;2011),1,0)</f>
        <v>0</v>
      </c>
      <c r="U169" s="5">
        <f>IF(AND($A169&gt;=2011,$A169&lt;2012),1,0)</f>
        <v>0</v>
      </c>
      <c r="V169" s="5">
        <f>IF(AND($A169&gt;=2012,$A169&lt;2013),1,0)</f>
        <v>0</v>
      </c>
      <c r="W169" s="5">
        <f>IF(AND($A169&gt;=2013,$A169&lt;2014),1,0)</f>
        <v>0</v>
      </c>
      <c r="X169" s="5">
        <f>IF(AND($A169&gt;=2014,$A169&lt;2015),1,0)</f>
        <v>1</v>
      </c>
      <c r="Y169" s="5">
        <f>IF(AND($A169&gt;=2015,$A169&lt;2016),1,0)</f>
        <v>0</v>
      </c>
      <c r="Z169" s="5">
        <f>IF(AND($A169&gt;=2016,$A169&lt;2017),1,0)</f>
        <v>0</v>
      </c>
      <c r="AA169" s="5">
        <f>IF(AND($A169&gt;=2017,$A169&lt;2018),1,0)</f>
        <v>0</v>
      </c>
      <c r="AB169" s="5">
        <f>IF(AND($A169&gt;=2018,$A169&lt;2019),1,0)</f>
        <v>0</v>
      </c>
      <c r="AC169" s="5">
        <f>IF(AND($A169&gt;=2019,$A169&lt;2020),1,0)</f>
        <v>0</v>
      </c>
      <c r="AD169" s="5">
        <f>IF(AND($A169&gt;=2020,$A169&lt;2021),1,0)</f>
        <v>0</v>
      </c>
      <c r="AE169" s="5">
        <f>IF(AND($A169&gt;=2021,$A169&lt;2022),1,0)</f>
        <v>0</v>
      </c>
      <c r="AF169" s="5">
        <f>($A169-1992)/((2-1)*$D$4)*B169+(1992+2*$D$4-$A169)/((2-1)*$D$4)*C169</f>
        <v>0</v>
      </c>
      <c r="AG169" s="5">
        <f>($A169-1993)/((2-1)*$D$4)*C169+(1993+2*$D$4-$A169)/((2-1)*$D$4)*D169</f>
        <v>0</v>
      </c>
      <c r="AH169" s="5">
        <f>($A169-1994)/((2-1)*$D$4)*D169+(1994+2*$D$4-$A169)/((2-1)*$D$4)*E169</f>
        <v>0</v>
      </c>
      <c r="AI169" s="5">
        <f>($A169-1995)/((2-1)*$D$4)*E169+(1995+2*$D$4-$A169)/((2-1)*$D$4)*F169</f>
        <v>0</v>
      </c>
      <c r="AJ169" s="5">
        <f>($A169-1996)/((2-1)*$D$4)*F169+(1996+2*$D$4-$A169)/((2-1)*$D$4)*G169</f>
        <v>0</v>
      </c>
      <c r="AK169" s="5">
        <f>($A169-1997)/((2-1)*$D$4)*G169+(1997+2*$D$4-$A169)/((2-1)*$D$4)*H169</f>
        <v>0</v>
      </c>
      <c r="AL169" s="5">
        <f>($A169-1998)/((2-1)*$D$4)*H169+(1998+2*$D$4-$A169)/((2-1)*$D$4)*I169</f>
        <v>0</v>
      </c>
      <c r="AM169" s="5">
        <f>($A169-1999)/((2-1)*$D$4)*I169+(1999+2*$D$4-$A169)/((2-1)*$D$4)*J169</f>
        <v>0</v>
      </c>
      <c r="AN169" s="5">
        <f>($A169-2000)/((2-1)*$D$4)*J169+(2000+2*$D$4-$A169)/((2-1)*$D$4)*K169</f>
        <v>0</v>
      </c>
      <c r="AO169" s="5">
        <f>($A169-2001)/((2-1)*$D$4)*K169+(2001+2*$D$4-$A169)/((2-1)*$D$4)*L169</f>
        <v>0</v>
      </c>
      <c r="AP169" s="5">
        <f>($A169-2002)/((2-1)*$D$4)*L169+(2002+2*$D$4-$A169)/((2-1)*$D$4)*M169</f>
        <v>0</v>
      </c>
      <c r="AQ169" s="5">
        <f>($A169-2003)/((2-1)*$D$4)*M169+(2003+2*$D$4-$A169)/((2-1)*$D$4)*N169</f>
        <v>0</v>
      </c>
      <c r="AR169" s="5">
        <f>($A169-2004)/((2-1)*$D$4)*N169+(2004+2*$D$4-$A169)/((2-1)*$D$4)*O169</f>
        <v>0</v>
      </c>
      <c r="AS169" s="5">
        <f>($A169-2005)/((2-1)*$D$4)*O169+(2005+2*$D$4-$A169)/((2-1)*$D$4)*P169</f>
        <v>0</v>
      </c>
      <c r="AT169" s="5">
        <f>($A169-2006)/((2-1)*$D$4)*P169+(2006+2*$D$4-$A169)/((2-1)*$D$4)*Q169</f>
        <v>0</v>
      </c>
      <c r="AU169" s="5">
        <f>($A169-2007)/((2-1)*$D$4)*Q169+(2007+2*$D$4-$A169)/((2-1)*$D$4)*R169</f>
        <v>0</v>
      </c>
      <c r="AV169" s="5">
        <f>($A169-2008)/((2-1)*$D$4)*R169+(2008+2*$D$4-$A169)/((2-1)*$D$4)*S169</f>
        <v>0</v>
      </c>
      <c r="AW169" s="5">
        <f>($A169-2009)/((2-1)*$D$4)*S169+(2009+2*$D$4-$A169)/((2-1)*$D$4)*T169</f>
        <v>0</v>
      </c>
      <c r="AX169" s="5">
        <f>($A169-2010)/((2-1)*$D$4)*T169+(2010+2*$D$4-$A169)/((2-1)*$D$4)*U169</f>
        <v>0</v>
      </c>
      <c r="AY169" s="5">
        <f>($A169-2011)/((2-1)*$D$4)*U169+(2011+2*$D$4-$A169)/((2-1)*$D$4)*V169</f>
        <v>0</v>
      </c>
      <c r="AZ169" s="5">
        <f>($A169-2012)/((2-1)*$D$4)*V169+(2012+2*$D$4-$A169)/((2-1)*$D$4)*W169</f>
        <v>0</v>
      </c>
      <c r="BA169" s="5">
        <f>($A169-2013)/((2-1)*$D$4)*W169+(2013+2*$D$4-$A169)/((2-1)*$D$4)*X169</f>
        <v>1</v>
      </c>
      <c r="BB169" s="5">
        <f>($A169-2014)/((2-1)*$D$4)*X169+(2014+2*$D$4-$A169)/((2-1)*$D$4)*Y169</f>
        <v>0</v>
      </c>
      <c r="BC169" s="5">
        <f>($A169-2015)/((2-1)*$D$4)*Y169+(2015+2*$D$4-$A169)/((2-1)*$D$4)*Z169</f>
        <v>0</v>
      </c>
      <c r="BD169" s="5">
        <f>($A169-2016)/((2-1)*$D$4)*Z169+(2016+2*$D$4-$A169)/((2-1)*$D$4)*AA169</f>
        <v>0</v>
      </c>
      <c r="BE169" s="5">
        <f>($A169-2017)/((2-1)*$D$4)*AA169+(2017+2*$D$4-$A169)/((2-1)*$D$4)*AB169</f>
        <v>0</v>
      </c>
      <c r="BF169" s="5">
        <f>($A169-2018)/((2-1)*$D$4)*AB169+(2018+2*$D$4-$A169)/((2-1)*$D$4)*AC169</f>
        <v>0</v>
      </c>
      <c r="BG169" s="5">
        <f>($A169-2019)/((2-1)*$D$4)*AC169+(2019+2*$D$4-$A169)/((2-1)*$D$4)*AD169</f>
        <v>0</v>
      </c>
      <c r="BH169" s="5">
        <f>($A169-2020)/((2-1)*$D$4)*AD169+(2020+2*$D$4-$A169)/((2-1)*$D$4)*AE169</f>
        <v>0</v>
      </c>
      <c r="BI169" s="5">
        <f>($A169-1992)/((3-1)*$D$4)*AF169+(1992+3*$D$4-$A169)/((3-1)*$D$4)*AG169</f>
        <v>0</v>
      </c>
      <c r="BJ169" s="5">
        <f>($A169-1993)/((3-1)*$D$4)*AG169+(1993+3*$D$4-$A169)/((3-1)*$D$4)*AH169</f>
        <v>0</v>
      </c>
      <c r="BK169" s="5">
        <f>($A169-1994)/((3-1)*$D$4)*AH169+(1994+3*$D$4-$A169)/((3-1)*$D$4)*AI169</f>
        <v>0</v>
      </c>
      <c r="BL169" s="5">
        <f>($A169-1995)/((3-1)*$D$4)*AI169+(1995+3*$D$4-$A169)/((3-1)*$D$4)*AJ169</f>
        <v>0</v>
      </c>
      <c r="BM169" s="5">
        <f>($A169-1996)/((3-1)*$D$4)*AJ169+(1996+3*$D$4-$A169)/((3-1)*$D$4)*AK169</f>
        <v>0</v>
      </c>
      <c r="BN169" s="5">
        <f>($A169-1997)/((3-1)*$D$4)*AK169+(1997+3*$D$4-$A169)/((3-1)*$D$4)*AL169</f>
        <v>0</v>
      </c>
      <c r="BO169" s="5">
        <f>($A169-1998)/((3-1)*$D$4)*AL169+(1998+3*$D$4-$A169)/((3-1)*$D$4)*AM169</f>
        <v>0</v>
      </c>
      <c r="BP169" s="5">
        <f>($A169-1999)/((3-1)*$D$4)*AM169+(1999+3*$D$4-$A169)/((3-1)*$D$4)*AN169</f>
        <v>0</v>
      </c>
      <c r="BQ169" s="5">
        <f>($A169-2000)/((3-1)*$D$4)*AN169+(2000+3*$D$4-$A169)/((3-1)*$D$4)*AO169</f>
        <v>0</v>
      </c>
      <c r="BR169" s="5">
        <f>($A169-2001)/((3-1)*$D$4)*AO169+(2001+3*$D$4-$A169)/((3-1)*$D$4)*AP169</f>
        <v>0</v>
      </c>
      <c r="BS169" s="5">
        <f>($A169-2002)/((3-1)*$D$4)*AP169+(2002+3*$D$4-$A169)/((3-1)*$D$4)*AQ169</f>
        <v>0</v>
      </c>
      <c r="BT169" s="5">
        <f>($A169-2003)/((3-1)*$D$4)*AQ169+(2003+3*$D$4-$A169)/((3-1)*$D$4)*AR169</f>
        <v>0</v>
      </c>
      <c r="BU169" s="5">
        <f>($A169-2004)/((3-1)*$D$4)*AR169+(2004+3*$D$4-$A169)/((3-1)*$D$4)*AS169</f>
        <v>0</v>
      </c>
      <c r="BV169" s="5">
        <f>($A169-2005)/((3-1)*$D$4)*AS169+(2005+3*$D$4-$A169)/((3-1)*$D$4)*AT169</f>
        <v>0</v>
      </c>
      <c r="BW169" s="5">
        <f>($A169-2006)/((3-1)*$D$4)*AT169+(2006+3*$D$4-$A169)/((3-1)*$D$4)*AU169</f>
        <v>0</v>
      </c>
      <c r="BX169" s="5">
        <f>($A169-2007)/((3-1)*$D$4)*AU169+(2007+3*$D$4-$A169)/((3-1)*$D$4)*AV169</f>
        <v>0</v>
      </c>
      <c r="BY169" s="5">
        <f>($A169-2008)/((3-1)*$D$4)*AV169+(2008+3*$D$4-$A169)/((3-1)*$D$4)*AW169</f>
        <v>0</v>
      </c>
      <c r="BZ169" s="5">
        <f>($A169-2009)/((3-1)*$D$4)*AW169+(2009+3*$D$4-$A169)/((3-1)*$D$4)*AX169</f>
        <v>0</v>
      </c>
      <c r="CA169" s="5">
        <f>($A169-2010)/((3-1)*$D$4)*AX169+(2010+3*$D$4-$A169)/((3-1)*$D$4)*AY169</f>
        <v>0</v>
      </c>
      <c r="CB169" s="5">
        <f>($A169-2011)/((3-1)*$D$4)*AY169+(2011+3*$D$4-$A169)/((3-1)*$D$4)*AZ169</f>
        <v>0</v>
      </c>
      <c r="CC169" s="5">
        <f>($A169-2012)/((3-1)*$D$4)*AZ169+(2012+3*$D$4-$A169)/((3-1)*$D$4)*BA169</f>
        <v>0.5</v>
      </c>
      <c r="CD169" s="5">
        <f>($A169-2013)/((3-1)*$D$4)*BA169+(2013+3*$D$4-$A169)/((3-1)*$D$4)*BB169</f>
        <v>0.5</v>
      </c>
      <c r="CE169" s="5">
        <f>($A169-2014)/((3-1)*$D$4)*BB169+(2014+3*$D$4-$A169)/((3-1)*$D$4)*BC169</f>
        <v>0</v>
      </c>
      <c r="CF169" s="5">
        <f>($A169-2015)/((3-1)*$D$4)*BC169+(2015+3*$D$4-$A169)/((3-1)*$D$4)*BD169</f>
        <v>0</v>
      </c>
      <c r="CG169" s="5">
        <f>($A169-2016)/((3-1)*$D$4)*BD169+(2016+3*$D$4-$A169)/((3-1)*$D$4)*BE169</f>
        <v>0</v>
      </c>
      <c r="CH169" s="5">
        <f>($A169-2017)/((3-1)*$D$4)*BE169+(2017+3*$D$4-$A169)/((3-1)*$D$4)*BF169</f>
        <v>0</v>
      </c>
      <c r="CI169" s="5">
        <f>($A169-2018)/((3-1)*$D$4)*BF169+(2018+3*$D$4-$A169)/((3-1)*$D$4)*BG169</f>
        <v>0</v>
      </c>
      <c r="CJ169" s="5">
        <f>($A169-2019)/((3-1)*$D$4)*BG169+(2019+3*$D$4-$A169)/((3-1)*$D$4)*BH169</f>
        <v>0</v>
      </c>
      <c r="CK169" s="5">
        <f>($A169-1992)/((4-1)*$D$4)*BI169+(1992+4*$D$4-$A169)/((4-1)*$D$4)*BJ169</f>
        <v>0</v>
      </c>
      <c r="CL169" s="5">
        <f>($A169-1993)/((4-1)*$D$4)*BJ169+(1993+4*$D$4-$A169)/((4-1)*$D$4)*BK169</f>
        <v>0</v>
      </c>
      <c r="CM169" s="5">
        <f>($A169-1994)/((4-1)*$D$4)*BK169+(1994+4*$D$4-$A169)/((4-1)*$D$4)*BL169</f>
        <v>0</v>
      </c>
      <c r="CN169" s="5">
        <f>($A169-1995)/((4-1)*$D$4)*BL169+(1995+4*$D$4-$A169)/((4-1)*$D$4)*BM169</f>
        <v>0</v>
      </c>
      <c r="CO169" s="5">
        <f>($A169-1996)/((4-1)*$D$4)*BM169+(1996+4*$D$4-$A169)/((4-1)*$D$4)*BN169</f>
        <v>0</v>
      </c>
      <c r="CP169" s="5">
        <f>($A169-1997)/((4-1)*$D$4)*BN169+(1997+4*$D$4-$A169)/((4-1)*$D$4)*BO169</f>
        <v>0</v>
      </c>
      <c r="CQ169" s="5">
        <f>($A169-1998)/((4-1)*$D$4)*BO169+(1998+4*$D$4-$A169)/((4-1)*$D$4)*BP169</f>
        <v>0</v>
      </c>
      <c r="CR169" s="5">
        <f>($A169-1999)/((4-1)*$D$4)*BP169+(1999+4*$D$4-$A169)/((4-1)*$D$4)*BQ169</f>
        <v>0</v>
      </c>
      <c r="CS169" s="5">
        <f>($A169-2000)/((4-1)*$D$4)*BQ169+(2000+4*$D$4-$A169)/((4-1)*$D$4)*BR169</f>
        <v>0</v>
      </c>
      <c r="CT169" s="5">
        <f>($A169-2001)/((4-1)*$D$4)*BR169+(2001+4*$D$4-$A169)/((4-1)*$D$4)*BS169</f>
        <v>0</v>
      </c>
      <c r="CU169" s="5">
        <f>($A169-2002)/((4-1)*$D$4)*BS169+(2002+4*$D$4-$A169)/((4-1)*$D$4)*BT169</f>
        <v>0</v>
      </c>
      <c r="CV169" s="5">
        <f>($A169-2003)/((4-1)*$D$4)*BT169+(2003+4*$D$4-$A169)/((4-1)*$D$4)*BU169</f>
        <v>0</v>
      </c>
      <c r="CW169" s="5">
        <f>($A169-2004)/((4-1)*$D$4)*BU169+(2004+4*$D$4-$A169)/((4-1)*$D$4)*BV169</f>
        <v>0</v>
      </c>
      <c r="CX169" s="5">
        <f>($A169-2005)/((4-1)*$D$4)*BV169+(2005+4*$D$4-$A169)/((4-1)*$D$4)*BW169</f>
        <v>0</v>
      </c>
      <c r="CY169" s="5">
        <f>($A169-2006)/((4-1)*$D$4)*BW169+(2006+4*$D$4-$A169)/((4-1)*$D$4)*BX169</f>
        <v>0</v>
      </c>
      <c r="CZ169" s="5">
        <f>($A169-2007)/((4-1)*$D$4)*BX169+(2007+4*$D$4-$A169)/((4-1)*$D$4)*BY169</f>
        <v>0</v>
      </c>
      <c r="DA169" s="5">
        <f>($A169-2008)/((4-1)*$D$4)*BY169+(2008+4*$D$4-$A169)/((4-1)*$D$4)*BZ169</f>
        <v>0</v>
      </c>
      <c r="DB169" s="5">
        <f>($A169-2009)/((4-1)*$D$4)*BZ169+(2009+4*$D$4-$A169)/((4-1)*$D$4)*CA169</f>
        <v>0</v>
      </c>
      <c r="DC169" s="5">
        <f>($A169-2010)/((4-1)*$D$4)*CA169+(2010+4*$D$4-$A169)/((4-1)*$D$4)*CB169</f>
        <v>0</v>
      </c>
      <c r="DD169" s="5">
        <f>($A169-2011)/((4-1)*$D$4)*CB169+(2011+4*$D$4-$A169)/((4-1)*$D$4)*CC169</f>
        <v>0.16666666666666666</v>
      </c>
      <c r="DE169" s="5">
        <f>($A169-2012)/((4-1)*$D$4)*CC169+(2012+4*$D$4-$A169)/((4-1)*$D$4)*CD169</f>
        <v>0.66666666666666663</v>
      </c>
      <c r="DF169" s="5">
        <f>($A169-2013)/((4-1)*$D$4)*CD169+(2013+4*$D$4-$A169)/((4-1)*$D$4)*CE169</f>
        <v>0.16666666666666666</v>
      </c>
      <c r="DG169" s="5">
        <f>($A169-2014)/((4-1)*$D$4)*CE169+(2014+4*$D$4-$A169)/((4-1)*$D$4)*CF169</f>
        <v>0</v>
      </c>
      <c r="DH169" s="5">
        <f>($A169-2015)/((4-1)*$D$4)*CF169+(2015+4*$D$4-$A169)/((4-1)*$D$4)*CG169</f>
        <v>0</v>
      </c>
      <c r="DI169" s="5">
        <f>($A169-2016)/((4-1)*$D$4)*CG169+(2016+4*$D$4-$A169)/((4-1)*$D$4)*CH169</f>
        <v>0</v>
      </c>
      <c r="DJ169" s="5">
        <f>($A169-2017)/((4-1)*$D$4)*CH169+(2017+4*$D$4-$A169)/((4-1)*$D$4)*CI169</f>
        <v>0</v>
      </c>
      <c r="DK169" s="5">
        <f>($A169-2018)/((4-1)*$D$4)*CI169+(2018+4*$D$4-$A169)/((4-1)*$D$4)*CJ169</f>
        <v>0</v>
      </c>
    </row>
    <row r="170">
      <c r="A170" s="3" t="n">
        <v>2015</v>
      </c>
      <c r="B170" s="5">
        <f>IF(AND($A170&gt;=1992,$A170&lt;1993),1,0)</f>
        <v>0</v>
      </c>
      <c r="C170" s="5">
        <f>IF(AND($A170&gt;=1993,$A170&lt;1994),1,0)</f>
        <v>0</v>
      </c>
      <c r="D170" s="5">
        <f>IF(AND($A170&gt;=1994,$A170&lt;1995),1,0)</f>
        <v>0</v>
      </c>
      <c r="E170" s="5">
        <f>IF(AND($A170&gt;=1995,$A170&lt;1996),1,0)</f>
        <v>0</v>
      </c>
      <c r="F170" s="5">
        <f>IF(AND($A170&gt;=1996,$A170&lt;1997),1,0)</f>
        <v>0</v>
      </c>
      <c r="G170" s="5">
        <f>IF(AND($A170&gt;=1997,$A170&lt;1998),1,0)</f>
        <v>0</v>
      </c>
      <c r="H170" s="5">
        <f>IF(AND($A170&gt;=1998,$A170&lt;1999),1,0)</f>
        <v>0</v>
      </c>
      <c r="I170" s="5">
        <f>IF(AND($A170&gt;=1999,$A170&lt;2000),1,0)</f>
        <v>0</v>
      </c>
      <c r="J170" s="5">
        <f>IF(AND($A170&gt;=2000,$A170&lt;2001),1,0)</f>
        <v>0</v>
      </c>
      <c r="K170" s="5">
        <f>IF(AND($A170&gt;=2001,$A170&lt;2002),1,0)</f>
        <v>0</v>
      </c>
      <c r="L170" s="5">
        <f>IF(AND($A170&gt;=2002,$A170&lt;2003),1,0)</f>
        <v>0</v>
      </c>
      <c r="M170" s="5">
        <f>IF(AND($A170&gt;=2003,$A170&lt;2004),1,0)</f>
        <v>0</v>
      </c>
      <c r="N170" s="5">
        <f>IF(AND($A170&gt;=2004,$A170&lt;2005),1,0)</f>
        <v>0</v>
      </c>
      <c r="O170" s="5">
        <f>IF(AND($A170&gt;=2005,$A170&lt;2006),1,0)</f>
        <v>0</v>
      </c>
      <c r="P170" s="5">
        <f>IF(AND($A170&gt;=2006,$A170&lt;2007),1,0)</f>
        <v>0</v>
      </c>
      <c r="Q170" s="5">
        <f>IF(AND($A170&gt;=2007,$A170&lt;2008),1,0)</f>
        <v>0</v>
      </c>
      <c r="R170" s="5">
        <f>IF(AND($A170&gt;=2008,$A170&lt;2009),1,0)</f>
        <v>0</v>
      </c>
      <c r="S170" s="5">
        <f>IF(AND($A170&gt;=2009,$A170&lt;2010),1,0)</f>
        <v>0</v>
      </c>
      <c r="T170" s="5">
        <f>IF(AND($A170&gt;=2010,$A170&lt;2011),1,0)</f>
        <v>0</v>
      </c>
      <c r="U170" s="5">
        <f>IF(AND($A170&gt;=2011,$A170&lt;2012),1,0)</f>
        <v>0</v>
      </c>
      <c r="V170" s="5">
        <f>IF(AND($A170&gt;=2012,$A170&lt;2013),1,0)</f>
        <v>0</v>
      </c>
      <c r="W170" s="5">
        <f>IF(AND($A170&gt;=2013,$A170&lt;2014),1,0)</f>
        <v>0</v>
      </c>
      <c r="X170" s="5">
        <f>IF(AND($A170&gt;=2014,$A170&lt;2015),1,0)</f>
        <v>0</v>
      </c>
      <c r="Y170" s="5">
        <f>IF(AND($A170&gt;=2015,$A170&lt;2016),1,0)</f>
        <v>1</v>
      </c>
      <c r="Z170" s="5">
        <f>IF(AND($A170&gt;=2016,$A170&lt;2017),1,0)</f>
        <v>0</v>
      </c>
      <c r="AA170" s="5">
        <f>IF(AND($A170&gt;=2017,$A170&lt;2018),1,0)</f>
        <v>0</v>
      </c>
      <c r="AB170" s="5">
        <f>IF(AND($A170&gt;=2018,$A170&lt;2019),1,0)</f>
        <v>0</v>
      </c>
      <c r="AC170" s="5">
        <f>IF(AND($A170&gt;=2019,$A170&lt;2020),1,0)</f>
        <v>0</v>
      </c>
      <c r="AD170" s="5">
        <f>IF(AND($A170&gt;=2020,$A170&lt;2021),1,0)</f>
        <v>0</v>
      </c>
      <c r="AE170" s="5">
        <f>IF(AND($A170&gt;=2021,$A170&lt;2022),1,0)</f>
        <v>0</v>
      </c>
      <c r="AF170" s="5">
        <f>($A170-1992)/((2-1)*$D$4)*B170+(1992+2*$D$4-$A170)/((2-1)*$D$4)*C170</f>
        <v>0</v>
      </c>
      <c r="AG170" s="5">
        <f>($A170-1993)/((2-1)*$D$4)*C170+(1993+2*$D$4-$A170)/((2-1)*$D$4)*D170</f>
        <v>0</v>
      </c>
      <c r="AH170" s="5">
        <f>($A170-1994)/((2-1)*$D$4)*D170+(1994+2*$D$4-$A170)/((2-1)*$D$4)*E170</f>
        <v>0</v>
      </c>
      <c r="AI170" s="5">
        <f>($A170-1995)/((2-1)*$D$4)*E170+(1995+2*$D$4-$A170)/((2-1)*$D$4)*F170</f>
        <v>0</v>
      </c>
      <c r="AJ170" s="5">
        <f>($A170-1996)/((2-1)*$D$4)*F170+(1996+2*$D$4-$A170)/((2-1)*$D$4)*G170</f>
        <v>0</v>
      </c>
      <c r="AK170" s="5">
        <f>($A170-1997)/((2-1)*$D$4)*G170+(1997+2*$D$4-$A170)/((2-1)*$D$4)*H170</f>
        <v>0</v>
      </c>
      <c r="AL170" s="5">
        <f>($A170-1998)/((2-1)*$D$4)*H170+(1998+2*$D$4-$A170)/((2-1)*$D$4)*I170</f>
        <v>0</v>
      </c>
      <c r="AM170" s="5">
        <f>($A170-1999)/((2-1)*$D$4)*I170+(1999+2*$D$4-$A170)/((2-1)*$D$4)*J170</f>
        <v>0</v>
      </c>
      <c r="AN170" s="5">
        <f>($A170-2000)/((2-1)*$D$4)*J170+(2000+2*$D$4-$A170)/((2-1)*$D$4)*K170</f>
        <v>0</v>
      </c>
      <c r="AO170" s="5">
        <f>($A170-2001)/((2-1)*$D$4)*K170+(2001+2*$D$4-$A170)/((2-1)*$D$4)*L170</f>
        <v>0</v>
      </c>
      <c r="AP170" s="5">
        <f>($A170-2002)/((2-1)*$D$4)*L170+(2002+2*$D$4-$A170)/((2-1)*$D$4)*M170</f>
        <v>0</v>
      </c>
      <c r="AQ170" s="5">
        <f>($A170-2003)/((2-1)*$D$4)*M170+(2003+2*$D$4-$A170)/((2-1)*$D$4)*N170</f>
        <v>0</v>
      </c>
      <c r="AR170" s="5">
        <f>($A170-2004)/((2-1)*$D$4)*N170+(2004+2*$D$4-$A170)/((2-1)*$D$4)*O170</f>
        <v>0</v>
      </c>
      <c r="AS170" s="5">
        <f>($A170-2005)/((2-1)*$D$4)*O170+(2005+2*$D$4-$A170)/((2-1)*$D$4)*P170</f>
        <v>0</v>
      </c>
      <c r="AT170" s="5">
        <f>($A170-2006)/((2-1)*$D$4)*P170+(2006+2*$D$4-$A170)/((2-1)*$D$4)*Q170</f>
        <v>0</v>
      </c>
      <c r="AU170" s="5">
        <f>($A170-2007)/((2-1)*$D$4)*Q170+(2007+2*$D$4-$A170)/((2-1)*$D$4)*R170</f>
        <v>0</v>
      </c>
      <c r="AV170" s="5">
        <f>($A170-2008)/((2-1)*$D$4)*R170+(2008+2*$D$4-$A170)/((2-1)*$D$4)*S170</f>
        <v>0</v>
      </c>
      <c r="AW170" s="5">
        <f>($A170-2009)/((2-1)*$D$4)*S170+(2009+2*$D$4-$A170)/((2-1)*$D$4)*T170</f>
        <v>0</v>
      </c>
      <c r="AX170" s="5">
        <f>($A170-2010)/((2-1)*$D$4)*T170+(2010+2*$D$4-$A170)/((2-1)*$D$4)*U170</f>
        <v>0</v>
      </c>
      <c r="AY170" s="5">
        <f>($A170-2011)/((2-1)*$D$4)*U170+(2011+2*$D$4-$A170)/((2-1)*$D$4)*V170</f>
        <v>0</v>
      </c>
      <c r="AZ170" s="5">
        <f>($A170-2012)/((2-1)*$D$4)*V170+(2012+2*$D$4-$A170)/((2-1)*$D$4)*W170</f>
        <v>0</v>
      </c>
      <c r="BA170" s="5">
        <f>($A170-2013)/((2-1)*$D$4)*W170+(2013+2*$D$4-$A170)/((2-1)*$D$4)*X170</f>
        <v>0</v>
      </c>
      <c r="BB170" s="5">
        <f>($A170-2014)/((2-1)*$D$4)*X170+(2014+2*$D$4-$A170)/((2-1)*$D$4)*Y170</f>
        <v>1</v>
      </c>
      <c r="BC170" s="5">
        <f>($A170-2015)/((2-1)*$D$4)*Y170+(2015+2*$D$4-$A170)/((2-1)*$D$4)*Z170</f>
        <v>0</v>
      </c>
      <c r="BD170" s="5">
        <f>($A170-2016)/((2-1)*$D$4)*Z170+(2016+2*$D$4-$A170)/((2-1)*$D$4)*AA170</f>
        <v>0</v>
      </c>
      <c r="BE170" s="5">
        <f>($A170-2017)/((2-1)*$D$4)*AA170+(2017+2*$D$4-$A170)/((2-1)*$D$4)*AB170</f>
        <v>0</v>
      </c>
      <c r="BF170" s="5">
        <f>($A170-2018)/((2-1)*$D$4)*AB170+(2018+2*$D$4-$A170)/((2-1)*$D$4)*AC170</f>
        <v>0</v>
      </c>
      <c r="BG170" s="5">
        <f>($A170-2019)/((2-1)*$D$4)*AC170+(2019+2*$D$4-$A170)/((2-1)*$D$4)*AD170</f>
        <v>0</v>
      </c>
      <c r="BH170" s="5">
        <f>($A170-2020)/((2-1)*$D$4)*AD170+(2020+2*$D$4-$A170)/((2-1)*$D$4)*AE170</f>
        <v>0</v>
      </c>
      <c r="BI170" s="5">
        <f>($A170-1992)/((3-1)*$D$4)*AF170+(1992+3*$D$4-$A170)/((3-1)*$D$4)*AG170</f>
        <v>0</v>
      </c>
      <c r="BJ170" s="5">
        <f>($A170-1993)/((3-1)*$D$4)*AG170+(1993+3*$D$4-$A170)/((3-1)*$D$4)*AH170</f>
        <v>0</v>
      </c>
      <c r="BK170" s="5">
        <f>($A170-1994)/((3-1)*$D$4)*AH170+(1994+3*$D$4-$A170)/((3-1)*$D$4)*AI170</f>
        <v>0</v>
      </c>
      <c r="BL170" s="5">
        <f>($A170-1995)/((3-1)*$D$4)*AI170+(1995+3*$D$4-$A170)/((3-1)*$D$4)*AJ170</f>
        <v>0</v>
      </c>
      <c r="BM170" s="5">
        <f>($A170-1996)/((3-1)*$D$4)*AJ170+(1996+3*$D$4-$A170)/((3-1)*$D$4)*AK170</f>
        <v>0</v>
      </c>
      <c r="BN170" s="5">
        <f>($A170-1997)/((3-1)*$D$4)*AK170+(1997+3*$D$4-$A170)/((3-1)*$D$4)*AL170</f>
        <v>0</v>
      </c>
      <c r="BO170" s="5">
        <f>($A170-1998)/((3-1)*$D$4)*AL170+(1998+3*$D$4-$A170)/((3-1)*$D$4)*AM170</f>
        <v>0</v>
      </c>
      <c r="BP170" s="5">
        <f>($A170-1999)/((3-1)*$D$4)*AM170+(1999+3*$D$4-$A170)/((3-1)*$D$4)*AN170</f>
        <v>0</v>
      </c>
      <c r="BQ170" s="5">
        <f>($A170-2000)/((3-1)*$D$4)*AN170+(2000+3*$D$4-$A170)/((3-1)*$D$4)*AO170</f>
        <v>0</v>
      </c>
      <c r="BR170" s="5">
        <f>($A170-2001)/((3-1)*$D$4)*AO170+(2001+3*$D$4-$A170)/((3-1)*$D$4)*AP170</f>
        <v>0</v>
      </c>
      <c r="BS170" s="5">
        <f>($A170-2002)/((3-1)*$D$4)*AP170+(2002+3*$D$4-$A170)/((3-1)*$D$4)*AQ170</f>
        <v>0</v>
      </c>
      <c r="BT170" s="5">
        <f>($A170-2003)/((3-1)*$D$4)*AQ170+(2003+3*$D$4-$A170)/((3-1)*$D$4)*AR170</f>
        <v>0</v>
      </c>
      <c r="BU170" s="5">
        <f>($A170-2004)/((3-1)*$D$4)*AR170+(2004+3*$D$4-$A170)/((3-1)*$D$4)*AS170</f>
        <v>0</v>
      </c>
      <c r="BV170" s="5">
        <f>($A170-2005)/((3-1)*$D$4)*AS170+(2005+3*$D$4-$A170)/((3-1)*$D$4)*AT170</f>
        <v>0</v>
      </c>
      <c r="BW170" s="5">
        <f>($A170-2006)/((3-1)*$D$4)*AT170+(2006+3*$D$4-$A170)/((3-1)*$D$4)*AU170</f>
        <v>0</v>
      </c>
      <c r="BX170" s="5">
        <f>($A170-2007)/((3-1)*$D$4)*AU170+(2007+3*$D$4-$A170)/((3-1)*$D$4)*AV170</f>
        <v>0</v>
      </c>
      <c r="BY170" s="5">
        <f>($A170-2008)/((3-1)*$D$4)*AV170+(2008+3*$D$4-$A170)/((3-1)*$D$4)*AW170</f>
        <v>0</v>
      </c>
      <c r="BZ170" s="5">
        <f>($A170-2009)/((3-1)*$D$4)*AW170+(2009+3*$D$4-$A170)/((3-1)*$D$4)*AX170</f>
        <v>0</v>
      </c>
      <c r="CA170" s="5">
        <f>($A170-2010)/((3-1)*$D$4)*AX170+(2010+3*$D$4-$A170)/((3-1)*$D$4)*AY170</f>
        <v>0</v>
      </c>
      <c r="CB170" s="5">
        <f>($A170-2011)/((3-1)*$D$4)*AY170+(2011+3*$D$4-$A170)/((3-1)*$D$4)*AZ170</f>
        <v>0</v>
      </c>
      <c r="CC170" s="5">
        <f>($A170-2012)/((3-1)*$D$4)*AZ170+(2012+3*$D$4-$A170)/((3-1)*$D$4)*BA170</f>
        <v>0</v>
      </c>
      <c r="CD170" s="5">
        <f>($A170-2013)/((3-1)*$D$4)*BA170+(2013+3*$D$4-$A170)/((3-1)*$D$4)*BB170</f>
        <v>0.5</v>
      </c>
      <c r="CE170" s="5">
        <f>($A170-2014)/((3-1)*$D$4)*BB170+(2014+3*$D$4-$A170)/((3-1)*$D$4)*BC170</f>
        <v>0.5</v>
      </c>
      <c r="CF170" s="5">
        <f>($A170-2015)/((3-1)*$D$4)*BC170+(2015+3*$D$4-$A170)/((3-1)*$D$4)*BD170</f>
        <v>0</v>
      </c>
      <c r="CG170" s="5">
        <f>($A170-2016)/((3-1)*$D$4)*BD170+(2016+3*$D$4-$A170)/((3-1)*$D$4)*BE170</f>
        <v>0</v>
      </c>
      <c r="CH170" s="5">
        <f>($A170-2017)/((3-1)*$D$4)*BE170+(2017+3*$D$4-$A170)/((3-1)*$D$4)*BF170</f>
        <v>0</v>
      </c>
      <c r="CI170" s="5">
        <f>($A170-2018)/((3-1)*$D$4)*BF170+(2018+3*$D$4-$A170)/((3-1)*$D$4)*BG170</f>
        <v>0</v>
      </c>
      <c r="CJ170" s="5">
        <f>($A170-2019)/((3-1)*$D$4)*BG170+(2019+3*$D$4-$A170)/((3-1)*$D$4)*BH170</f>
        <v>0</v>
      </c>
      <c r="CK170" s="5">
        <f>($A170-1992)/((4-1)*$D$4)*BI170+(1992+4*$D$4-$A170)/((4-1)*$D$4)*BJ170</f>
        <v>0</v>
      </c>
      <c r="CL170" s="5">
        <f>($A170-1993)/((4-1)*$D$4)*BJ170+(1993+4*$D$4-$A170)/((4-1)*$D$4)*BK170</f>
        <v>0</v>
      </c>
      <c r="CM170" s="5">
        <f>($A170-1994)/((4-1)*$D$4)*BK170+(1994+4*$D$4-$A170)/((4-1)*$D$4)*BL170</f>
        <v>0</v>
      </c>
      <c r="CN170" s="5">
        <f>($A170-1995)/((4-1)*$D$4)*BL170+(1995+4*$D$4-$A170)/((4-1)*$D$4)*BM170</f>
        <v>0</v>
      </c>
      <c r="CO170" s="5">
        <f>($A170-1996)/((4-1)*$D$4)*BM170+(1996+4*$D$4-$A170)/((4-1)*$D$4)*BN170</f>
        <v>0</v>
      </c>
      <c r="CP170" s="5">
        <f>($A170-1997)/((4-1)*$D$4)*BN170+(1997+4*$D$4-$A170)/((4-1)*$D$4)*BO170</f>
        <v>0</v>
      </c>
      <c r="CQ170" s="5">
        <f>($A170-1998)/((4-1)*$D$4)*BO170+(1998+4*$D$4-$A170)/((4-1)*$D$4)*BP170</f>
        <v>0</v>
      </c>
      <c r="CR170" s="5">
        <f>($A170-1999)/((4-1)*$D$4)*BP170+(1999+4*$D$4-$A170)/((4-1)*$D$4)*BQ170</f>
        <v>0</v>
      </c>
      <c r="CS170" s="5">
        <f>($A170-2000)/((4-1)*$D$4)*BQ170+(2000+4*$D$4-$A170)/((4-1)*$D$4)*BR170</f>
        <v>0</v>
      </c>
      <c r="CT170" s="5">
        <f>($A170-2001)/((4-1)*$D$4)*BR170+(2001+4*$D$4-$A170)/((4-1)*$D$4)*BS170</f>
        <v>0</v>
      </c>
      <c r="CU170" s="5">
        <f>($A170-2002)/((4-1)*$D$4)*BS170+(2002+4*$D$4-$A170)/((4-1)*$D$4)*BT170</f>
        <v>0</v>
      </c>
      <c r="CV170" s="5">
        <f>($A170-2003)/((4-1)*$D$4)*BT170+(2003+4*$D$4-$A170)/((4-1)*$D$4)*BU170</f>
        <v>0</v>
      </c>
      <c r="CW170" s="5">
        <f>($A170-2004)/((4-1)*$D$4)*BU170+(2004+4*$D$4-$A170)/((4-1)*$D$4)*BV170</f>
        <v>0</v>
      </c>
      <c r="CX170" s="5">
        <f>($A170-2005)/((4-1)*$D$4)*BV170+(2005+4*$D$4-$A170)/((4-1)*$D$4)*BW170</f>
        <v>0</v>
      </c>
      <c r="CY170" s="5">
        <f>($A170-2006)/((4-1)*$D$4)*BW170+(2006+4*$D$4-$A170)/((4-1)*$D$4)*BX170</f>
        <v>0</v>
      </c>
      <c r="CZ170" s="5">
        <f>($A170-2007)/((4-1)*$D$4)*BX170+(2007+4*$D$4-$A170)/((4-1)*$D$4)*BY170</f>
        <v>0</v>
      </c>
      <c r="DA170" s="5">
        <f>($A170-2008)/((4-1)*$D$4)*BY170+(2008+4*$D$4-$A170)/((4-1)*$D$4)*BZ170</f>
        <v>0</v>
      </c>
      <c r="DB170" s="5">
        <f>($A170-2009)/((4-1)*$D$4)*BZ170+(2009+4*$D$4-$A170)/((4-1)*$D$4)*CA170</f>
        <v>0</v>
      </c>
      <c r="DC170" s="5">
        <f>($A170-2010)/((4-1)*$D$4)*CA170+(2010+4*$D$4-$A170)/((4-1)*$D$4)*CB170</f>
        <v>0</v>
      </c>
      <c r="DD170" s="5">
        <f>($A170-2011)/((4-1)*$D$4)*CB170+(2011+4*$D$4-$A170)/((4-1)*$D$4)*CC170</f>
        <v>0</v>
      </c>
      <c r="DE170" s="5">
        <f>($A170-2012)/((4-1)*$D$4)*CC170+(2012+4*$D$4-$A170)/((4-1)*$D$4)*CD170</f>
        <v>0.16666666666666666</v>
      </c>
      <c r="DF170" s="5">
        <f>($A170-2013)/((4-1)*$D$4)*CD170+(2013+4*$D$4-$A170)/((4-1)*$D$4)*CE170</f>
        <v>0.66666666666666663</v>
      </c>
      <c r="DG170" s="5">
        <f>($A170-2014)/((4-1)*$D$4)*CE170+(2014+4*$D$4-$A170)/((4-1)*$D$4)*CF170</f>
        <v>0.16666666666666666</v>
      </c>
      <c r="DH170" s="5">
        <f>($A170-2015)/((4-1)*$D$4)*CF170+(2015+4*$D$4-$A170)/((4-1)*$D$4)*CG170</f>
        <v>0</v>
      </c>
      <c r="DI170" s="5">
        <f>($A170-2016)/((4-1)*$D$4)*CG170+(2016+4*$D$4-$A170)/((4-1)*$D$4)*CH170</f>
        <v>0</v>
      </c>
      <c r="DJ170" s="5">
        <f>($A170-2017)/((4-1)*$D$4)*CH170+(2017+4*$D$4-$A170)/((4-1)*$D$4)*CI170</f>
        <v>0</v>
      </c>
      <c r="DK170" s="5">
        <f>($A170-2018)/((4-1)*$D$4)*CI170+(2018+4*$D$4-$A170)/((4-1)*$D$4)*CJ170</f>
        <v>0</v>
      </c>
    </row>
    <row r="171">
      <c r="A171" s="3" t="n">
        <v>2016</v>
      </c>
      <c r="B171" s="5">
        <f>IF(AND($A171&gt;=1992,$A171&lt;1993),1,0)</f>
        <v>0</v>
      </c>
      <c r="C171" s="5">
        <f>IF(AND($A171&gt;=1993,$A171&lt;1994),1,0)</f>
        <v>0</v>
      </c>
      <c r="D171" s="5">
        <f>IF(AND($A171&gt;=1994,$A171&lt;1995),1,0)</f>
        <v>0</v>
      </c>
      <c r="E171" s="5">
        <f>IF(AND($A171&gt;=1995,$A171&lt;1996),1,0)</f>
        <v>0</v>
      </c>
      <c r="F171" s="5">
        <f>IF(AND($A171&gt;=1996,$A171&lt;1997),1,0)</f>
        <v>0</v>
      </c>
      <c r="G171" s="5">
        <f>IF(AND($A171&gt;=1997,$A171&lt;1998),1,0)</f>
        <v>0</v>
      </c>
      <c r="H171" s="5">
        <f>IF(AND($A171&gt;=1998,$A171&lt;1999),1,0)</f>
        <v>0</v>
      </c>
      <c r="I171" s="5">
        <f>IF(AND($A171&gt;=1999,$A171&lt;2000),1,0)</f>
        <v>0</v>
      </c>
      <c r="J171" s="5">
        <f>IF(AND($A171&gt;=2000,$A171&lt;2001),1,0)</f>
        <v>0</v>
      </c>
      <c r="K171" s="5">
        <f>IF(AND($A171&gt;=2001,$A171&lt;2002),1,0)</f>
        <v>0</v>
      </c>
      <c r="L171" s="5">
        <f>IF(AND($A171&gt;=2002,$A171&lt;2003),1,0)</f>
        <v>0</v>
      </c>
      <c r="M171" s="5">
        <f>IF(AND($A171&gt;=2003,$A171&lt;2004),1,0)</f>
        <v>0</v>
      </c>
      <c r="N171" s="5">
        <f>IF(AND($A171&gt;=2004,$A171&lt;2005),1,0)</f>
        <v>0</v>
      </c>
      <c r="O171" s="5">
        <f>IF(AND($A171&gt;=2005,$A171&lt;2006),1,0)</f>
        <v>0</v>
      </c>
      <c r="P171" s="5">
        <f>IF(AND($A171&gt;=2006,$A171&lt;2007),1,0)</f>
        <v>0</v>
      </c>
      <c r="Q171" s="5">
        <f>IF(AND($A171&gt;=2007,$A171&lt;2008),1,0)</f>
        <v>0</v>
      </c>
      <c r="R171" s="5">
        <f>IF(AND($A171&gt;=2008,$A171&lt;2009),1,0)</f>
        <v>0</v>
      </c>
      <c r="S171" s="5">
        <f>IF(AND($A171&gt;=2009,$A171&lt;2010),1,0)</f>
        <v>0</v>
      </c>
      <c r="T171" s="5">
        <f>IF(AND($A171&gt;=2010,$A171&lt;2011),1,0)</f>
        <v>0</v>
      </c>
      <c r="U171" s="5">
        <f>IF(AND($A171&gt;=2011,$A171&lt;2012),1,0)</f>
        <v>0</v>
      </c>
      <c r="V171" s="5">
        <f>IF(AND($A171&gt;=2012,$A171&lt;2013),1,0)</f>
        <v>0</v>
      </c>
      <c r="W171" s="5">
        <f>IF(AND($A171&gt;=2013,$A171&lt;2014),1,0)</f>
        <v>0</v>
      </c>
      <c r="X171" s="5">
        <f>IF(AND($A171&gt;=2014,$A171&lt;2015),1,0)</f>
        <v>0</v>
      </c>
      <c r="Y171" s="5">
        <f>IF(AND($A171&gt;=2015,$A171&lt;2016),1,0)</f>
        <v>0</v>
      </c>
      <c r="Z171" s="5">
        <f>IF(AND($A171&gt;=2016,$A171&lt;2017),1,0)</f>
        <v>1</v>
      </c>
      <c r="AA171" s="5">
        <f>IF(AND($A171&gt;=2017,$A171&lt;2018),1,0)</f>
        <v>0</v>
      </c>
      <c r="AB171" s="5">
        <f>IF(AND($A171&gt;=2018,$A171&lt;2019),1,0)</f>
        <v>0</v>
      </c>
      <c r="AC171" s="5">
        <f>IF(AND($A171&gt;=2019,$A171&lt;2020),1,0)</f>
        <v>0</v>
      </c>
      <c r="AD171" s="5">
        <f>IF(AND($A171&gt;=2020,$A171&lt;2021),1,0)</f>
        <v>0</v>
      </c>
      <c r="AE171" s="5">
        <f>IF(AND($A171&gt;=2021,$A171&lt;2022),1,0)</f>
        <v>0</v>
      </c>
      <c r="AF171" s="5">
        <f>($A171-1992)/((2-1)*$D$4)*B171+(1992+2*$D$4-$A171)/((2-1)*$D$4)*C171</f>
        <v>0</v>
      </c>
      <c r="AG171" s="5">
        <f>($A171-1993)/((2-1)*$D$4)*C171+(1993+2*$D$4-$A171)/((2-1)*$D$4)*D171</f>
        <v>0</v>
      </c>
      <c r="AH171" s="5">
        <f>($A171-1994)/((2-1)*$D$4)*D171+(1994+2*$D$4-$A171)/((2-1)*$D$4)*E171</f>
        <v>0</v>
      </c>
      <c r="AI171" s="5">
        <f>($A171-1995)/((2-1)*$D$4)*E171+(1995+2*$D$4-$A171)/((2-1)*$D$4)*F171</f>
        <v>0</v>
      </c>
      <c r="AJ171" s="5">
        <f>($A171-1996)/((2-1)*$D$4)*F171+(1996+2*$D$4-$A171)/((2-1)*$D$4)*G171</f>
        <v>0</v>
      </c>
      <c r="AK171" s="5">
        <f>($A171-1997)/((2-1)*$D$4)*G171+(1997+2*$D$4-$A171)/((2-1)*$D$4)*H171</f>
        <v>0</v>
      </c>
      <c r="AL171" s="5">
        <f>($A171-1998)/((2-1)*$D$4)*H171+(1998+2*$D$4-$A171)/((2-1)*$D$4)*I171</f>
        <v>0</v>
      </c>
      <c r="AM171" s="5">
        <f>($A171-1999)/((2-1)*$D$4)*I171+(1999+2*$D$4-$A171)/((2-1)*$D$4)*J171</f>
        <v>0</v>
      </c>
      <c r="AN171" s="5">
        <f>($A171-2000)/((2-1)*$D$4)*J171+(2000+2*$D$4-$A171)/((2-1)*$D$4)*K171</f>
        <v>0</v>
      </c>
      <c r="AO171" s="5">
        <f>($A171-2001)/((2-1)*$D$4)*K171+(2001+2*$D$4-$A171)/((2-1)*$D$4)*L171</f>
        <v>0</v>
      </c>
      <c r="AP171" s="5">
        <f>($A171-2002)/((2-1)*$D$4)*L171+(2002+2*$D$4-$A171)/((2-1)*$D$4)*M171</f>
        <v>0</v>
      </c>
      <c r="AQ171" s="5">
        <f>($A171-2003)/((2-1)*$D$4)*M171+(2003+2*$D$4-$A171)/((2-1)*$D$4)*N171</f>
        <v>0</v>
      </c>
      <c r="AR171" s="5">
        <f>($A171-2004)/((2-1)*$D$4)*N171+(2004+2*$D$4-$A171)/((2-1)*$D$4)*O171</f>
        <v>0</v>
      </c>
      <c r="AS171" s="5">
        <f>($A171-2005)/((2-1)*$D$4)*O171+(2005+2*$D$4-$A171)/((2-1)*$D$4)*P171</f>
        <v>0</v>
      </c>
      <c r="AT171" s="5">
        <f>($A171-2006)/((2-1)*$D$4)*P171+(2006+2*$D$4-$A171)/((2-1)*$D$4)*Q171</f>
        <v>0</v>
      </c>
      <c r="AU171" s="5">
        <f>($A171-2007)/((2-1)*$D$4)*Q171+(2007+2*$D$4-$A171)/((2-1)*$D$4)*R171</f>
        <v>0</v>
      </c>
      <c r="AV171" s="5">
        <f>($A171-2008)/((2-1)*$D$4)*R171+(2008+2*$D$4-$A171)/((2-1)*$D$4)*S171</f>
        <v>0</v>
      </c>
      <c r="AW171" s="5">
        <f>($A171-2009)/((2-1)*$D$4)*S171+(2009+2*$D$4-$A171)/((2-1)*$D$4)*T171</f>
        <v>0</v>
      </c>
      <c r="AX171" s="5">
        <f>($A171-2010)/((2-1)*$D$4)*T171+(2010+2*$D$4-$A171)/((2-1)*$D$4)*U171</f>
        <v>0</v>
      </c>
      <c r="AY171" s="5">
        <f>($A171-2011)/((2-1)*$D$4)*U171+(2011+2*$D$4-$A171)/((2-1)*$D$4)*V171</f>
        <v>0</v>
      </c>
      <c r="AZ171" s="5">
        <f>($A171-2012)/((2-1)*$D$4)*V171+(2012+2*$D$4-$A171)/((2-1)*$D$4)*W171</f>
        <v>0</v>
      </c>
      <c r="BA171" s="5">
        <f>($A171-2013)/((2-1)*$D$4)*W171+(2013+2*$D$4-$A171)/((2-1)*$D$4)*X171</f>
        <v>0</v>
      </c>
      <c r="BB171" s="5">
        <f>($A171-2014)/((2-1)*$D$4)*X171+(2014+2*$D$4-$A171)/((2-1)*$D$4)*Y171</f>
        <v>0</v>
      </c>
      <c r="BC171" s="5">
        <f>($A171-2015)/((2-1)*$D$4)*Y171+(2015+2*$D$4-$A171)/((2-1)*$D$4)*Z171</f>
        <v>1</v>
      </c>
      <c r="BD171" s="5">
        <f>($A171-2016)/((2-1)*$D$4)*Z171+(2016+2*$D$4-$A171)/((2-1)*$D$4)*AA171</f>
        <v>0</v>
      </c>
      <c r="BE171" s="5">
        <f>($A171-2017)/((2-1)*$D$4)*AA171+(2017+2*$D$4-$A171)/((2-1)*$D$4)*AB171</f>
        <v>0</v>
      </c>
      <c r="BF171" s="5">
        <f>($A171-2018)/((2-1)*$D$4)*AB171+(2018+2*$D$4-$A171)/((2-1)*$D$4)*AC171</f>
        <v>0</v>
      </c>
      <c r="BG171" s="5">
        <f>($A171-2019)/((2-1)*$D$4)*AC171+(2019+2*$D$4-$A171)/((2-1)*$D$4)*AD171</f>
        <v>0</v>
      </c>
      <c r="BH171" s="5">
        <f>($A171-2020)/((2-1)*$D$4)*AD171+(2020+2*$D$4-$A171)/((2-1)*$D$4)*AE171</f>
        <v>0</v>
      </c>
      <c r="BI171" s="5">
        <f>($A171-1992)/((3-1)*$D$4)*AF171+(1992+3*$D$4-$A171)/((3-1)*$D$4)*AG171</f>
        <v>0</v>
      </c>
      <c r="BJ171" s="5">
        <f>($A171-1993)/((3-1)*$D$4)*AG171+(1993+3*$D$4-$A171)/((3-1)*$D$4)*AH171</f>
        <v>0</v>
      </c>
      <c r="BK171" s="5">
        <f>($A171-1994)/((3-1)*$D$4)*AH171+(1994+3*$D$4-$A171)/((3-1)*$D$4)*AI171</f>
        <v>0</v>
      </c>
      <c r="BL171" s="5">
        <f>($A171-1995)/((3-1)*$D$4)*AI171+(1995+3*$D$4-$A171)/((3-1)*$D$4)*AJ171</f>
        <v>0</v>
      </c>
      <c r="BM171" s="5">
        <f>($A171-1996)/((3-1)*$D$4)*AJ171+(1996+3*$D$4-$A171)/((3-1)*$D$4)*AK171</f>
        <v>0</v>
      </c>
      <c r="BN171" s="5">
        <f>($A171-1997)/((3-1)*$D$4)*AK171+(1997+3*$D$4-$A171)/((3-1)*$D$4)*AL171</f>
        <v>0</v>
      </c>
      <c r="BO171" s="5">
        <f>($A171-1998)/((3-1)*$D$4)*AL171+(1998+3*$D$4-$A171)/((3-1)*$D$4)*AM171</f>
        <v>0</v>
      </c>
      <c r="BP171" s="5">
        <f>($A171-1999)/((3-1)*$D$4)*AM171+(1999+3*$D$4-$A171)/((3-1)*$D$4)*AN171</f>
        <v>0</v>
      </c>
      <c r="BQ171" s="5">
        <f>($A171-2000)/((3-1)*$D$4)*AN171+(2000+3*$D$4-$A171)/((3-1)*$D$4)*AO171</f>
        <v>0</v>
      </c>
      <c r="BR171" s="5">
        <f>($A171-2001)/((3-1)*$D$4)*AO171+(2001+3*$D$4-$A171)/((3-1)*$D$4)*AP171</f>
        <v>0</v>
      </c>
      <c r="BS171" s="5">
        <f>($A171-2002)/((3-1)*$D$4)*AP171+(2002+3*$D$4-$A171)/((3-1)*$D$4)*AQ171</f>
        <v>0</v>
      </c>
      <c r="BT171" s="5">
        <f>($A171-2003)/((3-1)*$D$4)*AQ171+(2003+3*$D$4-$A171)/((3-1)*$D$4)*AR171</f>
        <v>0</v>
      </c>
      <c r="BU171" s="5">
        <f>($A171-2004)/((3-1)*$D$4)*AR171+(2004+3*$D$4-$A171)/((3-1)*$D$4)*AS171</f>
        <v>0</v>
      </c>
      <c r="BV171" s="5">
        <f>($A171-2005)/((3-1)*$D$4)*AS171+(2005+3*$D$4-$A171)/((3-1)*$D$4)*AT171</f>
        <v>0</v>
      </c>
      <c r="BW171" s="5">
        <f>($A171-2006)/((3-1)*$D$4)*AT171+(2006+3*$D$4-$A171)/((3-1)*$D$4)*AU171</f>
        <v>0</v>
      </c>
      <c r="BX171" s="5">
        <f>($A171-2007)/((3-1)*$D$4)*AU171+(2007+3*$D$4-$A171)/((3-1)*$D$4)*AV171</f>
        <v>0</v>
      </c>
      <c r="BY171" s="5">
        <f>($A171-2008)/((3-1)*$D$4)*AV171+(2008+3*$D$4-$A171)/((3-1)*$D$4)*AW171</f>
        <v>0</v>
      </c>
      <c r="BZ171" s="5">
        <f>($A171-2009)/((3-1)*$D$4)*AW171+(2009+3*$D$4-$A171)/((3-1)*$D$4)*AX171</f>
        <v>0</v>
      </c>
      <c r="CA171" s="5">
        <f>($A171-2010)/((3-1)*$D$4)*AX171+(2010+3*$D$4-$A171)/((3-1)*$D$4)*AY171</f>
        <v>0</v>
      </c>
      <c r="CB171" s="5">
        <f>($A171-2011)/((3-1)*$D$4)*AY171+(2011+3*$D$4-$A171)/((3-1)*$D$4)*AZ171</f>
        <v>0</v>
      </c>
      <c r="CC171" s="5">
        <f>($A171-2012)/((3-1)*$D$4)*AZ171+(2012+3*$D$4-$A171)/((3-1)*$D$4)*BA171</f>
        <v>0</v>
      </c>
      <c r="CD171" s="5">
        <f>($A171-2013)/((3-1)*$D$4)*BA171+(2013+3*$D$4-$A171)/((3-1)*$D$4)*BB171</f>
        <v>0</v>
      </c>
      <c r="CE171" s="5">
        <f>($A171-2014)/((3-1)*$D$4)*BB171+(2014+3*$D$4-$A171)/((3-1)*$D$4)*BC171</f>
        <v>0.5</v>
      </c>
      <c r="CF171" s="5">
        <f>($A171-2015)/((3-1)*$D$4)*BC171+(2015+3*$D$4-$A171)/((3-1)*$D$4)*BD171</f>
        <v>0.5</v>
      </c>
      <c r="CG171" s="5">
        <f>($A171-2016)/((3-1)*$D$4)*BD171+(2016+3*$D$4-$A171)/((3-1)*$D$4)*BE171</f>
        <v>0</v>
      </c>
      <c r="CH171" s="5">
        <f>($A171-2017)/((3-1)*$D$4)*BE171+(2017+3*$D$4-$A171)/((3-1)*$D$4)*BF171</f>
        <v>0</v>
      </c>
      <c r="CI171" s="5">
        <f>($A171-2018)/((3-1)*$D$4)*BF171+(2018+3*$D$4-$A171)/((3-1)*$D$4)*BG171</f>
        <v>0</v>
      </c>
      <c r="CJ171" s="5">
        <f>($A171-2019)/((3-1)*$D$4)*BG171+(2019+3*$D$4-$A171)/((3-1)*$D$4)*BH171</f>
        <v>0</v>
      </c>
      <c r="CK171" s="5">
        <f>($A171-1992)/((4-1)*$D$4)*BI171+(1992+4*$D$4-$A171)/((4-1)*$D$4)*BJ171</f>
        <v>0</v>
      </c>
      <c r="CL171" s="5">
        <f>($A171-1993)/((4-1)*$D$4)*BJ171+(1993+4*$D$4-$A171)/((4-1)*$D$4)*BK171</f>
        <v>0</v>
      </c>
      <c r="CM171" s="5">
        <f>($A171-1994)/((4-1)*$D$4)*BK171+(1994+4*$D$4-$A171)/((4-1)*$D$4)*BL171</f>
        <v>0</v>
      </c>
      <c r="CN171" s="5">
        <f>($A171-1995)/((4-1)*$D$4)*BL171+(1995+4*$D$4-$A171)/((4-1)*$D$4)*BM171</f>
        <v>0</v>
      </c>
      <c r="CO171" s="5">
        <f>($A171-1996)/((4-1)*$D$4)*BM171+(1996+4*$D$4-$A171)/((4-1)*$D$4)*BN171</f>
        <v>0</v>
      </c>
      <c r="CP171" s="5">
        <f>($A171-1997)/((4-1)*$D$4)*BN171+(1997+4*$D$4-$A171)/((4-1)*$D$4)*BO171</f>
        <v>0</v>
      </c>
      <c r="CQ171" s="5">
        <f>($A171-1998)/((4-1)*$D$4)*BO171+(1998+4*$D$4-$A171)/((4-1)*$D$4)*BP171</f>
        <v>0</v>
      </c>
      <c r="CR171" s="5">
        <f>($A171-1999)/((4-1)*$D$4)*BP171+(1999+4*$D$4-$A171)/((4-1)*$D$4)*BQ171</f>
        <v>0</v>
      </c>
      <c r="CS171" s="5">
        <f>($A171-2000)/((4-1)*$D$4)*BQ171+(2000+4*$D$4-$A171)/((4-1)*$D$4)*BR171</f>
        <v>0</v>
      </c>
      <c r="CT171" s="5">
        <f>($A171-2001)/((4-1)*$D$4)*BR171+(2001+4*$D$4-$A171)/((4-1)*$D$4)*BS171</f>
        <v>0</v>
      </c>
      <c r="CU171" s="5">
        <f>($A171-2002)/((4-1)*$D$4)*BS171+(2002+4*$D$4-$A171)/((4-1)*$D$4)*BT171</f>
        <v>0</v>
      </c>
      <c r="CV171" s="5">
        <f>($A171-2003)/((4-1)*$D$4)*BT171+(2003+4*$D$4-$A171)/((4-1)*$D$4)*BU171</f>
        <v>0</v>
      </c>
      <c r="CW171" s="5">
        <f>($A171-2004)/((4-1)*$D$4)*BU171+(2004+4*$D$4-$A171)/((4-1)*$D$4)*BV171</f>
        <v>0</v>
      </c>
      <c r="CX171" s="5">
        <f>($A171-2005)/((4-1)*$D$4)*BV171+(2005+4*$D$4-$A171)/((4-1)*$D$4)*BW171</f>
        <v>0</v>
      </c>
      <c r="CY171" s="5">
        <f>($A171-2006)/((4-1)*$D$4)*BW171+(2006+4*$D$4-$A171)/((4-1)*$D$4)*BX171</f>
        <v>0</v>
      </c>
      <c r="CZ171" s="5">
        <f>($A171-2007)/((4-1)*$D$4)*BX171+(2007+4*$D$4-$A171)/((4-1)*$D$4)*BY171</f>
        <v>0</v>
      </c>
      <c r="DA171" s="5">
        <f>($A171-2008)/((4-1)*$D$4)*BY171+(2008+4*$D$4-$A171)/((4-1)*$D$4)*BZ171</f>
        <v>0</v>
      </c>
      <c r="DB171" s="5">
        <f>($A171-2009)/((4-1)*$D$4)*BZ171+(2009+4*$D$4-$A171)/((4-1)*$D$4)*CA171</f>
        <v>0</v>
      </c>
      <c r="DC171" s="5">
        <f>($A171-2010)/((4-1)*$D$4)*CA171+(2010+4*$D$4-$A171)/((4-1)*$D$4)*CB171</f>
        <v>0</v>
      </c>
      <c r="DD171" s="5">
        <f>($A171-2011)/((4-1)*$D$4)*CB171+(2011+4*$D$4-$A171)/((4-1)*$D$4)*CC171</f>
        <v>0</v>
      </c>
      <c r="DE171" s="5">
        <f>($A171-2012)/((4-1)*$D$4)*CC171+(2012+4*$D$4-$A171)/((4-1)*$D$4)*CD171</f>
        <v>0</v>
      </c>
      <c r="DF171" s="5">
        <f>($A171-2013)/((4-1)*$D$4)*CD171+(2013+4*$D$4-$A171)/((4-1)*$D$4)*CE171</f>
        <v>0.16666666666666666</v>
      </c>
      <c r="DG171" s="5">
        <f>($A171-2014)/((4-1)*$D$4)*CE171+(2014+4*$D$4-$A171)/((4-1)*$D$4)*CF171</f>
        <v>0.66666666666666663</v>
      </c>
      <c r="DH171" s="5">
        <f>($A171-2015)/((4-1)*$D$4)*CF171+(2015+4*$D$4-$A171)/((4-1)*$D$4)*CG171</f>
        <v>0.16666666666666666</v>
      </c>
      <c r="DI171" s="5">
        <f>($A171-2016)/((4-1)*$D$4)*CG171+(2016+4*$D$4-$A171)/((4-1)*$D$4)*CH171</f>
        <v>0</v>
      </c>
      <c r="DJ171" s="5">
        <f>($A171-2017)/((4-1)*$D$4)*CH171+(2017+4*$D$4-$A171)/((4-1)*$D$4)*CI171</f>
        <v>0</v>
      </c>
      <c r="DK171" s="5">
        <f>($A171-2018)/((4-1)*$D$4)*CI171+(2018+4*$D$4-$A171)/((4-1)*$D$4)*CJ171</f>
        <v>0</v>
      </c>
    </row>
    <row r="172">
      <c r="A172" s="3" t="n">
        <v>2017</v>
      </c>
      <c r="B172" s="5">
        <f>IF(AND($A172&gt;=1992,$A172&lt;1993),1,0)</f>
        <v>0</v>
      </c>
      <c r="C172" s="5">
        <f>IF(AND($A172&gt;=1993,$A172&lt;1994),1,0)</f>
        <v>0</v>
      </c>
      <c r="D172" s="5">
        <f>IF(AND($A172&gt;=1994,$A172&lt;1995),1,0)</f>
        <v>0</v>
      </c>
      <c r="E172" s="5">
        <f>IF(AND($A172&gt;=1995,$A172&lt;1996),1,0)</f>
        <v>0</v>
      </c>
      <c r="F172" s="5">
        <f>IF(AND($A172&gt;=1996,$A172&lt;1997),1,0)</f>
        <v>0</v>
      </c>
      <c r="G172" s="5">
        <f>IF(AND($A172&gt;=1997,$A172&lt;1998),1,0)</f>
        <v>0</v>
      </c>
      <c r="H172" s="5">
        <f>IF(AND($A172&gt;=1998,$A172&lt;1999),1,0)</f>
        <v>0</v>
      </c>
      <c r="I172" s="5">
        <f>IF(AND($A172&gt;=1999,$A172&lt;2000),1,0)</f>
        <v>0</v>
      </c>
      <c r="J172" s="5">
        <f>IF(AND($A172&gt;=2000,$A172&lt;2001),1,0)</f>
        <v>0</v>
      </c>
      <c r="K172" s="5">
        <f>IF(AND($A172&gt;=2001,$A172&lt;2002),1,0)</f>
        <v>0</v>
      </c>
      <c r="L172" s="5">
        <f>IF(AND($A172&gt;=2002,$A172&lt;2003),1,0)</f>
        <v>0</v>
      </c>
      <c r="M172" s="5">
        <f>IF(AND($A172&gt;=2003,$A172&lt;2004),1,0)</f>
        <v>0</v>
      </c>
      <c r="N172" s="5">
        <f>IF(AND($A172&gt;=2004,$A172&lt;2005),1,0)</f>
        <v>0</v>
      </c>
      <c r="O172" s="5">
        <f>IF(AND($A172&gt;=2005,$A172&lt;2006),1,0)</f>
        <v>0</v>
      </c>
      <c r="P172" s="5">
        <f>IF(AND($A172&gt;=2006,$A172&lt;2007),1,0)</f>
        <v>0</v>
      </c>
      <c r="Q172" s="5">
        <f>IF(AND($A172&gt;=2007,$A172&lt;2008),1,0)</f>
        <v>0</v>
      </c>
      <c r="R172" s="5">
        <f>IF(AND($A172&gt;=2008,$A172&lt;2009),1,0)</f>
        <v>0</v>
      </c>
      <c r="S172" s="5">
        <f>IF(AND($A172&gt;=2009,$A172&lt;2010),1,0)</f>
        <v>0</v>
      </c>
      <c r="T172" s="5">
        <f>IF(AND($A172&gt;=2010,$A172&lt;2011),1,0)</f>
        <v>0</v>
      </c>
      <c r="U172" s="5">
        <f>IF(AND($A172&gt;=2011,$A172&lt;2012),1,0)</f>
        <v>0</v>
      </c>
      <c r="V172" s="5">
        <f>IF(AND($A172&gt;=2012,$A172&lt;2013),1,0)</f>
        <v>0</v>
      </c>
      <c r="W172" s="5">
        <f>IF(AND($A172&gt;=2013,$A172&lt;2014),1,0)</f>
        <v>0</v>
      </c>
      <c r="X172" s="5">
        <f>IF(AND($A172&gt;=2014,$A172&lt;2015),1,0)</f>
        <v>0</v>
      </c>
      <c r="Y172" s="5">
        <f>IF(AND($A172&gt;=2015,$A172&lt;2016),1,0)</f>
        <v>0</v>
      </c>
      <c r="Z172" s="5">
        <f>IF(AND($A172&gt;=2016,$A172&lt;2017),1,0)</f>
        <v>0</v>
      </c>
      <c r="AA172" s="5">
        <f>IF(AND($A172&gt;=2017,$A172&lt;2018),1,0)</f>
        <v>1</v>
      </c>
      <c r="AB172" s="5">
        <f>IF(AND($A172&gt;=2018,$A172&lt;2019),1,0)</f>
        <v>0</v>
      </c>
      <c r="AC172" s="5">
        <f>IF(AND($A172&gt;=2019,$A172&lt;2020),1,0)</f>
        <v>0</v>
      </c>
      <c r="AD172" s="5">
        <f>IF(AND($A172&gt;=2020,$A172&lt;2021),1,0)</f>
        <v>0</v>
      </c>
      <c r="AE172" s="5">
        <f>IF(AND($A172&gt;=2021,$A172&lt;2022),1,0)</f>
        <v>0</v>
      </c>
      <c r="AF172" s="5">
        <f>($A172-1992)/((2-1)*$D$4)*B172+(1992+2*$D$4-$A172)/((2-1)*$D$4)*C172</f>
        <v>0</v>
      </c>
      <c r="AG172" s="5">
        <f>($A172-1993)/((2-1)*$D$4)*C172+(1993+2*$D$4-$A172)/((2-1)*$D$4)*D172</f>
        <v>0</v>
      </c>
      <c r="AH172" s="5">
        <f>($A172-1994)/((2-1)*$D$4)*D172+(1994+2*$D$4-$A172)/((2-1)*$D$4)*E172</f>
        <v>0</v>
      </c>
      <c r="AI172" s="5">
        <f>($A172-1995)/((2-1)*$D$4)*E172+(1995+2*$D$4-$A172)/((2-1)*$D$4)*F172</f>
        <v>0</v>
      </c>
      <c r="AJ172" s="5">
        <f>($A172-1996)/((2-1)*$D$4)*F172+(1996+2*$D$4-$A172)/((2-1)*$D$4)*G172</f>
        <v>0</v>
      </c>
      <c r="AK172" s="5">
        <f>($A172-1997)/((2-1)*$D$4)*G172+(1997+2*$D$4-$A172)/((2-1)*$D$4)*H172</f>
        <v>0</v>
      </c>
      <c r="AL172" s="5">
        <f>($A172-1998)/((2-1)*$D$4)*H172+(1998+2*$D$4-$A172)/((2-1)*$D$4)*I172</f>
        <v>0</v>
      </c>
      <c r="AM172" s="5">
        <f>($A172-1999)/((2-1)*$D$4)*I172+(1999+2*$D$4-$A172)/((2-1)*$D$4)*J172</f>
        <v>0</v>
      </c>
      <c r="AN172" s="5">
        <f>($A172-2000)/((2-1)*$D$4)*J172+(2000+2*$D$4-$A172)/((2-1)*$D$4)*K172</f>
        <v>0</v>
      </c>
      <c r="AO172" s="5">
        <f>($A172-2001)/((2-1)*$D$4)*K172+(2001+2*$D$4-$A172)/((2-1)*$D$4)*L172</f>
        <v>0</v>
      </c>
      <c r="AP172" s="5">
        <f>($A172-2002)/((2-1)*$D$4)*L172+(2002+2*$D$4-$A172)/((2-1)*$D$4)*M172</f>
        <v>0</v>
      </c>
      <c r="AQ172" s="5">
        <f>($A172-2003)/((2-1)*$D$4)*M172+(2003+2*$D$4-$A172)/((2-1)*$D$4)*N172</f>
        <v>0</v>
      </c>
      <c r="AR172" s="5">
        <f>($A172-2004)/((2-1)*$D$4)*N172+(2004+2*$D$4-$A172)/((2-1)*$D$4)*O172</f>
        <v>0</v>
      </c>
      <c r="AS172" s="5">
        <f>($A172-2005)/((2-1)*$D$4)*O172+(2005+2*$D$4-$A172)/((2-1)*$D$4)*P172</f>
        <v>0</v>
      </c>
      <c r="AT172" s="5">
        <f>($A172-2006)/((2-1)*$D$4)*P172+(2006+2*$D$4-$A172)/((2-1)*$D$4)*Q172</f>
        <v>0</v>
      </c>
      <c r="AU172" s="5">
        <f>($A172-2007)/((2-1)*$D$4)*Q172+(2007+2*$D$4-$A172)/((2-1)*$D$4)*R172</f>
        <v>0</v>
      </c>
      <c r="AV172" s="5">
        <f>($A172-2008)/((2-1)*$D$4)*R172+(2008+2*$D$4-$A172)/((2-1)*$D$4)*S172</f>
        <v>0</v>
      </c>
      <c r="AW172" s="5">
        <f>($A172-2009)/((2-1)*$D$4)*S172+(2009+2*$D$4-$A172)/((2-1)*$D$4)*T172</f>
        <v>0</v>
      </c>
      <c r="AX172" s="5">
        <f>($A172-2010)/((2-1)*$D$4)*T172+(2010+2*$D$4-$A172)/((2-1)*$D$4)*U172</f>
        <v>0</v>
      </c>
      <c r="AY172" s="5">
        <f>($A172-2011)/((2-1)*$D$4)*U172+(2011+2*$D$4-$A172)/((2-1)*$D$4)*V172</f>
        <v>0</v>
      </c>
      <c r="AZ172" s="5">
        <f>($A172-2012)/((2-1)*$D$4)*V172+(2012+2*$D$4-$A172)/((2-1)*$D$4)*W172</f>
        <v>0</v>
      </c>
      <c r="BA172" s="5">
        <f>($A172-2013)/((2-1)*$D$4)*W172+(2013+2*$D$4-$A172)/((2-1)*$D$4)*X172</f>
        <v>0</v>
      </c>
      <c r="BB172" s="5">
        <f>($A172-2014)/((2-1)*$D$4)*X172+(2014+2*$D$4-$A172)/((2-1)*$D$4)*Y172</f>
        <v>0</v>
      </c>
      <c r="BC172" s="5">
        <f>($A172-2015)/((2-1)*$D$4)*Y172+(2015+2*$D$4-$A172)/((2-1)*$D$4)*Z172</f>
        <v>0</v>
      </c>
      <c r="BD172" s="5">
        <f>($A172-2016)/((2-1)*$D$4)*Z172+(2016+2*$D$4-$A172)/((2-1)*$D$4)*AA172</f>
        <v>1</v>
      </c>
      <c r="BE172" s="5">
        <f>($A172-2017)/((2-1)*$D$4)*AA172+(2017+2*$D$4-$A172)/((2-1)*$D$4)*AB172</f>
        <v>0</v>
      </c>
      <c r="BF172" s="5">
        <f>($A172-2018)/((2-1)*$D$4)*AB172+(2018+2*$D$4-$A172)/((2-1)*$D$4)*AC172</f>
        <v>0</v>
      </c>
      <c r="BG172" s="5">
        <f>($A172-2019)/((2-1)*$D$4)*AC172+(2019+2*$D$4-$A172)/((2-1)*$D$4)*AD172</f>
        <v>0</v>
      </c>
      <c r="BH172" s="5">
        <f>($A172-2020)/((2-1)*$D$4)*AD172+(2020+2*$D$4-$A172)/((2-1)*$D$4)*AE172</f>
        <v>0</v>
      </c>
      <c r="BI172" s="5">
        <f>($A172-1992)/((3-1)*$D$4)*AF172+(1992+3*$D$4-$A172)/((3-1)*$D$4)*AG172</f>
        <v>0</v>
      </c>
      <c r="BJ172" s="5">
        <f>($A172-1993)/((3-1)*$D$4)*AG172+(1993+3*$D$4-$A172)/((3-1)*$D$4)*AH172</f>
        <v>0</v>
      </c>
      <c r="BK172" s="5">
        <f>($A172-1994)/((3-1)*$D$4)*AH172+(1994+3*$D$4-$A172)/((3-1)*$D$4)*AI172</f>
        <v>0</v>
      </c>
      <c r="BL172" s="5">
        <f>($A172-1995)/((3-1)*$D$4)*AI172+(1995+3*$D$4-$A172)/((3-1)*$D$4)*AJ172</f>
        <v>0</v>
      </c>
      <c r="BM172" s="5">
        <f>($A172-1996)/((3-1)*$D$4)*AJ172+(1996+3*$D$4-$A172)/((3-1)*$D$4)*AK172</f>
        <v>0</v>
      </c>
      <c r="BN172" s="5">
        <f>($A172-1997)/((3-1)*$D$4)*AK172+(1997+3*$D$4-$A172)/((3-1)*$D$4)*AL172</f>
        <v>0</v>
      </c>
      <c r="BO172" s="5">
        <f>($A172-1998)/((3-1)*$D$4)*AL172+(1998+3*$D$4-$A172)/((3-1)*$D$4)*AM172</f>
        <v>0</v>
      </c>
      <c r="BP172" s="5">
        <f>($A172-1999)/((3-1)*$D$4)*AM172+(1999+3*$D$4-$A172)/((3-1)*$D$4)*AN172</f>
        <v>0</v>
      </c>
      <c r="BQ172" s="5">
        <f>($A172-2000)/((3-1)*$D$4)*AN172+(2000+3*$D$4-$A172)/((3-1)*$D$4)*AO172</f>
        <v>0</v>
      </c>
      <c r="BR172" s="5">
        <f>($A172-2001)/((3-1)*$D$4)*AO172+(2001+3*$D$4-$A172)/((3-1)*$D$4)*AP172</f>
        <v>0</v>
      </c>
      <c r="BS172" s="5">
        <f>($A172-2002)/((3-1)*$D$4)*AP172+(2002+3*$D$4-$A172)/((3-1)*$D$4)*AQ172</f>
        <v>0</v>
      </c>
      <c r="BT172" s="5">
        <f>($A172-2003)/((3-1)*$D$4)*AQ172+(2003+3*$D$4-$A172)/((3-1)*$D$4)*AR172</f>
        <v>0</v>
      </c>
      <c r="BU172" s="5">
        <f>($A172-2004)/((3-1)*$D$4)*AR172+(2004+3*$D$4-$A172)/((3-1)*$D$4)*AS172</f>
        <v>0</v>
      </c>
      <c r="BV172" s="5">
        <f>($A172-2005)/((3-1)*$D$4)*AS172+(2005+3*$D$4-$A172)/((3-1)*$D$4)*AT172</f>
        <v>0</v>
      </c>
      <c r="BW172" s="5">
        <f>($A172-2006)/((3-1)*$D$4)*AT172+(2006+3*$D$4-$A172)/((3-1)*$D$4)*AU172</f>
        <v>0</v>
      </c>
      <c r="BX172" s="5">
        <f>($A172-2007)/((3-1)*$D$4)*AU172+(2007+3*$D$4-$A172)/((3-1)*$D$4)*AV172</f>
        <v>0</v>
      </c>
      <c r="BY172" s="5">
        <f>($A172-2008)/((3-1)*$D$4)*AV172+(2008+3*$D$4-$A172)/((3-1)*$D$4)*AW172</f>
        <v>0</v>
      </c>
      <c r="BZ172" s="5">
        <f>($A172-2009)/((3-1)*$D$4)*AW172+(2009+3*$D$4-$A172)/((3-1)*$D$4)*AX172</f>
        <v>0</v>
      </c>
      <c r="CA172" s="5">
        <f>($A172-2010)/((3-1)*$D$4)*AX172+(2010+3*$D$4-$A172)/((3-1)*$D$4)*AY172</f>
        <v>0</v>
      </c>
      <c r="CB172" s="5">
        <f>($A172-2011)/((3-1)*$D$4)*AY172+(2011+3*$D$4-$A172)/((3-1)*$D$4)*AZ172</f>
        <v>0</v>
      </c>
      <c r="CC172" s="5">
        <f>($A172-2012)/((3-1)*$D$4)*AZ172+(2012+3*$D$4-$A172)/((3-1)*$D$4)*BA172</f>
        <v>0</v>
      </c>
      <c r="CD172" s="5">
        <f>($A172-2013)/((3-1)*$D$4)*BA172+(2013+3*$D$4-$A172)/((3-1)*$D$4)*BB172</f>
        <v>0</v>
      </c>
      <c r="CE172" s="5">
        <f>($A172-2014)/((3-1)*$D$4)*BB172+(2014+3*$D$4-$A172)/((3-1)*$D$4)*BC172</f>
        <v>0</v>
      </c>
      <c r="CF172" s="5">
        <f>($A172-2015)/((3-1)*$D$4)*BC172+(2015+3*$D$4-$A172)/((3-1)*$D$4)*BD172</f>
        <v>0.5</v>
      </c>
      <c r="CG172" s="5">
        <f>($A172-2016)/((3-1)*$D$4)*BD172+(2016+3*$D$4-$A172)/((3-1)*$D$4)*BE172</f>
        <v>0.5</v>
      </c>
      <c r="CH172" s="5">
        <f>($A172-2017)/((3-1)*$D$4)*BE172+(2017+3*$D$4-$A172)/((3-1)*$D$4)*BF172</f>
        <v>0</v>
      </c>
      <c r="CI172" s="5">
        <f>($A172-2018)/((3-1)*$D$4)*BF172+(2018+3*$D$4-$A172)/((3-1)*$D$4)*BG172</f>
        <v>0</v>
      </c>
      <c r="CJ172" s="5">
        <f>($A172-2019)/((3-1)*$D$4)*BG172+(2019+3*$D$4-$A172)/((3-1)*$D$4)*BH172</f>
        <v>0</v>
      </c>
      <c r="CK172" s="5">
        <f>($A172-1992)/((4-1)*$D$4)*BI172+(1992+4*$D$4-$A172)/((4-1)*$D$4)*BJ172</f>
        <v>0</v>
      </c>
      <c r="CL172" s="5">
        <f>($A172-1993)/((4-1)*$D$4)*BJ172+(1993+4*$D$4-$A172)/((4-1)*$D$4)*BK172</f>
        <v>0</v>
      </c>
      <c r="CM172" s="5">
        <f>($A172-1994)/((4-1)*$D$4)*BK172+(1994+4*$D$4-$A172)/((4-1)*$D$4)*BL172</f>
        <v>0</v>
      </c>
      <c r="CN172" s="5">
        <f>($A172-1995)/((4-1)*$D$4)*BL172+(1995+4*$D$4-$A172)/((4-1)*$D$4)*BM172</f>
        <v>0</v>
      </c>
      <c r="CO172" s="5">
        <f>($A172-1996)/((4-1)*$D$4)*BM172+(1996+4*$D$4-$A172)/((4-1)*$D$4)*BN172</f>
        <v>0</v>
      </c>
      <c r="CP172" s="5">
        <f>($A172-1997)/((4-1)*$D$4)*BN172+(1997+4*$D$4-$A172)/((4-1)*$D$4)*BO172</f>
        <v>0</v>
      </c>
      <c r="CQ172" s="5">
        <f>($A172-1998)/((4-1)*$D$4)*BO172+(1998+4*$D$4-$A172)/((4-1)*$D$4)*BP172</f>
        <v>0</v>
      </c>
      <c r="CR172" s="5">
        <f>($A172-1999)/((4-1)*$D$4)*BP172+(1999+4*$D$4-$A172)/((4-1)*$D$4)*BQ172</f>
        <v>0</v>
      </c>
      <c r="CS172" s="5">
        <f>($A172-2000)/((4-1)*$D$4)*BQ172+(2000+4*$D$4-$A172)/((4-1)*$D$4)*BR172</f>
        <v>0</v>
      </c>
      <c r="CT172" s="5">
        <f>($A172-2001)/((4-1)*$D$4)*BR172+(2001+4*$D$4-$A172)/((4-1)*$D$4)*BS172</f>
        <v>0</v>
      </c>
      <c r="CU172" s="5">
        <f>($A172-2002)/((4-1)*$D$4)*BS172+(2002+4*$D$4-$A172)/((4-1)*$D$4)*BT172</f>
        <v>0</v>
      </c>
      <c r="CV172" s="5">
        <f>($A172-2003)/((4-1)*$D$4)*BT172+(2003+4*$D$4-$A172)/((4-1)*$D$4)*BU172</f>
        <v>0</v>
      </c>
      <c r="CW172" s="5">
        <f>($A172-2004)/((4-1)*$D$4)*BU172+(2004+4*$D$4-$A172)/((4-1)*$D$4)*BV172</f>
        <v>0</v>
      </c>
      <c r="CX172" s="5">
        <f>($A172-2005)/((4-1)*$D$4)*BV172+(2005+4*$D$4-$A172)/((4-1)*$D$4)*BW172</f>
        <v>0</v>
      </c>
      <c r="CY172" s="5">
        <f>($A172-2006)/((4-1)*$D$4)*BW172+(2006+4*$D$4-$A172)/((4-1)*$D$4)*BX172</f>
        <v>0</v>
      </c>
      <c r="CZ172" s="5">
        <f>($A172-2007)/((4-1)*$D$4)*BX172+(2007+4*$D$4-$A172)/((4-1)*$D$4)*BY172</f>
        <v>0</v>
      </c>
      <c r="DA172" s="5">
        <f>($A172-2008)/((4-1)*$D$4)*BY172+(2008+4*$D$4-$A172)/((4-1)*$D$4)*BZ172</f>
        <v>0</v>
      </c>
      <c r="DB172" s="5">
        <f>($A172-2009)/((4-1)*$D$4)*BZ172+(2009+4*$D$4-$A172)/((4-1)*$D$4)*CA172</f>
        <v>0</v>
      </c>
      <c r="DC172" s="5">
        <f>($A172-2010)/((4-1)*$D$4)*CA172+(2010+4*$D$4-$A172)/((4-1)*$D$4)*CB172</f>
        <v>0</v>
      </c>
      <c r="DD172" s="5">
        <f>($A172-2011)/((4-1)*$D$4)*CB172+(2011+4*$D$4-$A172)/((4-1)*$D$4)*CC172</f>
        <v>0</v>
      </c>
      <c r="DE172" s="5">
        <f>($A172-2012)/((4-1)*$D$4)*CC172+(2012+4*$D$4-$A172)/((4-1)*$D$4)*CD172</f>
        <v>0</v>
      </c>
      <c r="DF172" s="5">
        <f>($A172-2013)/((4-1)*$D$4)*CD172+(2013+4*$D$4-$A172)/((4-1)*$D$4)*CE172</f>
        <v>0</v>
      </c>
      <c r="DG172" s="5">
        <f>($A172-2014)/((4-1)*$D$4)*CE172+(2014+4*$D$4-$A172)/((4-1)*$D$4)*CF172</f>
        <v>0.16666666666666666</v>
      </c>
      <c r="DH172" s="5">
        <f>($A172-2015)/((4-1)*$D$4)*CF172+(2015+4*$D$4-$A172)/((4-1)*$D$4)*CG172</f>
        <v>0.66666666666666663</v>
      </c>
      <c r="DI172" s="5">
        <f>($A172-2016)/((4-1)*$D$4)*CG172+(2016+4*$D$4-$A172)/((4-1)*$D$4)*CH172</f>
        <v>0.16666666666666666</v>
      </c>
      <c r="DJ172" s="5">
        <f>($A172-2017)/((4-1)*$D$4)*CH172+(2017+4*$D$4-$A172)/((4-1)*$D$4)*CI172</f>
        <v>0</v>
      </c>
      <c r="DK172" s="5">
        <f>($A172-2018)/((4-1)*$D$4)*CI172+(2018+4*$D$4-$A172)/((4-1)*$D$4)*CJ172</f>
        <v>0</v>
      </c>
    </row>
    <row r="173">
      <c r="A173" s="3" t="n">
        <v>2018</v>
      </c>
      <c r="B173" s="5">
        <f>IF(AND($A173&gt;=1992,$A173&lt;1993),1,0)</f>
        <v>0</v>
      </c>
      <c r="C173" s="5">
        <f>IF(AND($A173&gt;=1993,$A173&lt;1994),1,0)</f>
        <v>0</v>
      </c>
      <c r="D173" s="5">
        <f>IF(AND($A173&gt;=1994,$A173&lt;1995),1,0)</f>
        <v>0</v>
      </c>
      <c r="E173" s="5">
        <f>IF(AND($A173&gt;=1995,$A173&lt;1996),1,0)</f>
        <v>0</v>
      </c>
      <c r="F173" s="5">
        <f>IF(AND($A173&gt;=1996,$A173&lt;1997),1,0)</f>
        <v>0</v>
      </c>
      <c r="G173" s="5">
        <f>IF(AND($A173&gt;=1997,$A173&lt;1998),1,0)</f>
        <v>0</v>
      </c>
      <c r="H173" s="5">
        <f>IF(AND($A173&gt;=1998,$A173&lt;1999),1,0)</f>
        <v>0</v>
      </c>
      <c r="I173" s="5">
        <f>IF(AND($A173&gt;=1999,$A173&lt;2000),1,0)</f>
        <v>0</v>
      </c>
      <c r="J173" s="5">
        <f>IF(AND($A173&gt;=2000,$A173&lt;2001),1,0)</f>
        <v>0</v>
      </c>
      <c r="K173" s="5">
        <f>IF(AND($A173&gt;=2001,$A173&lt;2002),1,0)</f>
        <v>0</v>
      </c>
      <c r="L173" s="5">
        <f>IF(AND($A173&gt;=2002,$A173&lt;2003),1,0)</f>
        <v>0</v>
      </c>
      <c r="M173" s="5">
        <f>IF(AND($A173&gt;=2003,$A173&lt;2004),1,0)</f>
        <v>0</v>
      </c>
      <c r="N173" s="5">
        <f>IF(AND($A173&gt;=2004,$A173&lt;2005),1,0)</f>
        <v>0</v>
      </c>
      <c r="O173" s="5">
        <f>IF(AND($A173&gt;=2005,$A173&lt;2006),1,0)</f>
        <v>0</v>
      </c>
      <c r="P173" s="5">
        <f>IF(AND($A173&gt;=2006,$A173&lt;2007),1,0)</f>
        <v>0</v>
      </c>
      <c r="Q173" s="5">
        <f>IF(AND($A173&gt;=2007,$A173&lt;2008),1,0)</f>
        <v>0</v>
      </c>
      <c r="R173" s="5">
        <f>IF(AND($A173&gt;=2008,$A173&lt;2009),1,0)</f>
        <v>0</v>
      </c>
      <c r="S173" s="5">
        <f>IF(AND($A173&gt;=2009,$A173&lt;2010),1,0)</f>
        <v>0</v>
      </c>
      <c r="T173" s="5">
        <f>IF(AND($A173&gt;=2010,$A173&lt;2011),1,0)</f>
        <v>0</v>
      </c>
      <c r="U173" s="5">
        <f>IF(AND($A173&gt;=2011,$A173&lt;2012),1,0)</f>
        <v>0</v>
      </c>
      <c r="V173" s="5">
        <f>IF(AND($A173&gt;=2012,$A173&lt;2013),1,0)</f>
        <v>0</v>
      </c>
      <c r="W173" s="5">
        <f>IF(AND($A173&gt;=2013,$A173&lt;2014),1,0)</f>
        <v>0</v>
      </c>
      <c r="X173" s="5">
        <f>IF(AND($A173&gt;=2014,$A173&lt;2015),1,0)</f>
        <v>0</v>
      </c>
      <c r="Y173" s="5">
        <f>IF(AND($A173&gt;=2015,$A173&lt;2016),1,0)</f>
        <v>0</v>
      </c>
      <c r="Z173" s="5">
        <f>IF(AND($A173&gt;=2016,$A173&lt;2017),1,0)</f>
        <v>0</v>
      </c>
      <c r="AA173" s="5">
        <f>IF(AND($A173&gt;=2017,$A173&lt;2018),1,0)</f>
        <v>0</v>
      </c>
      <c r="AB173" s="5">
        <f>IF(AND($A173&gt;=2018,$A173&lt;2019),1,0)</f>
        <v>1</v>
      </c>
      <c r="AC173" s="5">
        <f>IF(AND($A173&gt;=2019,$A173&lt;2020),1,0)</f>
        <v>0</v>
      </c>
      <c r="AD173" s="5">
        <f>IF(AND($A173&gt;=2020,$A173&lt;2021),1,0)</f>
        <v>0</v>
      </c>
      <c r="AE173" s="5">
        <f>IF(AND($A173&gt;=2021,$A173&lt;2022),1,0)</f>
        <v>0</v>
      </c>
      <c r="AF173" s="5">
        <f>($A173-1992)/((2-1)*$D$4)*B173+(1992+2*$D$4-$A173)/((2-1)*$D$4)*C173</f>
        <v>0</v>
      </c>
      <c r="AG173" s="5">
        <f>($A173-1993)/((2-1)*$D$4)*C173+(1993+2*$D$4-$A173)/((2-1)*$D$4)*D173</f>
        <v>0</v>
      </c>
      <c r="AH173" s="5">
        <f>($A173-1994)/((2-1)*$D$4)*D173+(1994+2*$D$4-$A173)/((2-1)*$D$4)*E173</f>
        <v>0</v>
      </c>
      <c r="AI173" s="5">
        <f>($A173-1995)/((2-1)*$D$4)*E173+(1995+2*$D$4-$A173)/((2-1)*$D$4)*F173</f>
        <v>0</v>
      </c>
      <c r="AJ173" s="5">
        <f>($A173-1996)/((2-1)*$D$4)*F173+(1996+2*$D$4-$A173)/((2-1)*$D$4)*G173</f>
        <v>0</v>
      </c>
      <c r="AK173" s="5">
        <f>($A173-1997)/((2-1)*$D$4)*G173+(1997+2*$D$4-$A173)/((2-1)*$D$4)*H173</f>
        <v>0</v>
      </c>
      <c r="AL173" s="5">
        <f>($A173-1998)/((2-1)*$D$4)*H173+(1998+2*$D$4-$A173)/((2-1)*$D$4)*I173</f>
        <v>0</v>
      </c>
      <c r="AM173" s="5">
        <f>($A173-1999)/((2-1)*$D$4)*I173+(1999+2*$D$4-$A173)/((2-1)*$D$4)*J173</f>
        <v>0</v>
      </c>
      <c r="AN173" s="5">
        <f>($A173-2000)/((2-1)*$D$4)*J173+(2000+2*$D$4-$A173)/((2-1)*$D$4)*K173</f>
        <v>0</v>
      </c>
      <c r="AO173" s="5">
        <f>($A173-2001)/((2-1)*$D$4)*K173+(2001+2*$D$4-$A173)/((2-1)*$D$4)*L173</f>
        <v>0</v>
      </c>
      <c r="AP173" s="5">
        <f>($A173-2002)/((2-1)*$D$4)*L173+(2002+2*$D$4-$A173)/((2-1)*$D$4)*M173</f>
        <v>0</v>
      </c>
      <c r="AQ173" s="5">
        <f>($A173-2003)/((2-1)*$D$4)*M173+(2003+2*$D$4-$A173)/((2-1)*$D$4)*N173</f>
        <v>0</v>
      </c>
      <c r="AR173" s="5">
        <f>($A173-2004)/((2-1)*$D$4)*N173+(2004+2*$D$4-$A173)/((2-1)*$D$4)*O173</f>
        <v>0</v>
      </c>
      <c r="AS173" s="5">
        <f>($A173-2005)/((2-1)*$D$4)*O173+(2005+2*$D$4-$A173)/((2-1)*$D$4)*P173</f>
        <v>0</v>
      </c>
      <c r="AT173" s="5">
        <f>($A173-2006)/((2-1)*$D$4)*P173+(2006+2*$D$4-$A173)/((2-1)*$D$4)*Q173</f>
        <v>0</v>
      </c>
      <c r="AU173" s="5">
        <f>($A173-2007)/((2-1)*$D$4)*Q173+(2007+2*$D$4-$A173)/((2-1)*$D$4)*R173</f>
        <v>0</v>
      </c>
      <c r="AV173" s="5">
        <f>($A173-2008)/((2-1)*$D$4)*R173+(2008+2*$D$4-$A173)/((2-1)*$D$4)*S173</f>
        <v>0</v>
      </c>
      <c r="AW173" s="5">
        <f>($A173-2009)/((2-1)*$D$4)*S173+(2009+2*$D$4-$A173)/((2-1)*$D$4)*T173</f>
        <v>0</v>
      </c>
      <c r="AX173" s="5">
        <f>($A173-2010)/((2-1)*$D$4)*T173+(2010+2*$D$4-$A173)/((2-1)*$D$4)*U173</f>
        <v>0</v>
      </c>
      <c r="AY173" s="5">
        <f>($A173-2011)/((2-1)*$D$4)*U173+(2011+2*$D$4-$A173)/((2-1)*$D$4)*V173</f>
        <v>0</v>
      </c>
      <c r="AZ173" s="5">
        <f>($A173-2012)/((2-1)*$D$4)*V173+(2012+2*$D$4-$A173)/((2-1)*$D$4)*W173</f>
        <v>0</v>
      </c>
      <c r="BA173" s="5">
        <f>($A173-2013)/((2-1)*$D$4)*W173+(2013+2*$D$4-$A173)/((2-1)*$D$4)*X173</f>
        <v>0</v>
      </c>
      <c r="BB173" s="5">
        <f>($A173-2014)/((2-1)*$D$4)*X173+(2014+2*$D$4-$A173)/((2-1)*$D$4)*Y173</f>
        <v>0</v>
      </c>
      <c r="BC173" s="5">
        <f>($A173-2015)/((2-1)*$D$4)*Y173+(2015+2*$D$4-$A173)/((2-1)*$D$4)*Z173</f>
        <v>0</v>
      </c>
      <c r="BD173" s="5">
        <f>($A173-2016)/((2-1)*$D$4)*Z173+(2016+2*$D$4-$A173)/((2-1)*$D$4)*AA173</f>
        <v>0</v>
      </c>
      <c r="BE173" s="5">
        <f>($A173-2017)/((2-1)*$D$4)*AA173+(2017+2*$D$4-$A173)/((2-1)*$D$4)*AB173</f>
        <v>1</v>
      </c>
      <c r="BF173" s="5">
        <f>($A173-2018)/((2-1)*$D$4)*AB173+(2018+2*$D$4-$A173)/((2-1)*$D$4)*AC173</f>
        <v>0</v>
      </c>
      <c r="BG173" s="5">
        <f>($A173-2019)/((2-1)*$D$4)*AC173+(2019+2*$D$4-$A173)/((2-1)*$D$4)*AD173</f>
        <v>0</v>
      </c>
      <c r="BH173" s="5">
        <f>($A173-2020)/((2-1)*$D$4)*AD173+(2020+2*$D$4-$A173)/((2-1)*$D$4)*AE173</f>
        <v>0</v>
      </c>
      <c r="BI173" s="5">
        <f>($A173-1992)/((3-1)*$D$4)*AF173+(1992+3*$D$4-$A173)/((3-1)*$D$4)*AG173</f>
        <v>0</v>
      </c>
      <c r="BJ173" s="5">
        <f>($A173-1993)/((3-1)*$D$4)*AG173+(1993+3*$D$4-$A173)/((3-1)*$D$4)*AH173</f>
        <v>0</v>
      </c>
      <c r="BK173" s="5">
        <f>($A173-1994)/((3-1)*$D$4)*AH173+(1994+3*$D$4-$A173)/((3-1)*$D$4)*AI173</f>
        <v>0</v>
      </c>
      <c r="BL173" s="5">
        <f>($A173-1995)/((3-1)*$D$4)*AI173+(1995+3*$D$4-$A173)/((3-1)*$D$4)*AJ173</f>
        <v>0</v>
      </c>
      <c r="BM173" s="5">
        <f>($A173-1996)/((3-1)*$D$4)*AJ173+(1996+3*$D$4-$A173)/((3-1)*$D$4)*AK173</f>
        <v>0</v>
      </c>
      <c r="BN173" s="5">
        <f>($A173-1997)/((3-1)*$D$4)*AK173+(1997+3*$D$4-$A173)/((3-1)*$D$4)*AL173</f>
        <v>0</v>
      </c>
      <c r="BO173" s="5">
        <f>($A173-1998)/((3-1)*$D$4)*AL173+(1998+3*$D$4-$A173)/((3-1)*$D$4)*AM173</f>
        <v>0</v>
      </c>
      <c r="BP173" s="5">
        <f>($A173-1999)/((3-1)*$D$4)*AM173+(1999+3*$D$4-$A173)/((3-1)*$D$4)*AN173</f>
        <v>0</v>
      </c>
      <c r="BQ173" s="5">
        <f>($A173-2000)/((3-1)*$D$4)*AN173+(2000+3*$D$4-$A173)/((3-1)*$D$4)*AO173</f>
        <v>0</v>
      </c>
      <c r="BR173" s="5">
        <f>($A173-2001)/((3-1)*$D$4)*AO173+(2001+3*$D$4-$A173)/((3-1)*$D$4)*AP173</f>
        <v>0</v>
      </c>
      <c r="BS173" s="5">
        <f>($A173-2002)/((3-1)*$D$4)*AP173+(2002+3*$D$4-$A173)/((3-1)*$D$4)*AQ173</f>
        <v>0</v>
      </c>
      <c r="BT173" s="5">
        <f>($A173-2003)/((3-1)*$D$4)*AQ173+(2003+3*$D$4-$A173)/((3-1)*$D$4)*AR173</f>
        <v>0</v>
      </c>
      <c r="BU173" s="5">
        <f>($A173-2004)/((3-1)*$D$4)*AR173+(2004+3*$D$4-$A173)/((3-1)*$D$4)*AS173</f>
        <v>0</v>
      </c>
      <c r="BV173" s="5">
        <f>($A173-2005)/((3-1)*$D$4)*AS173+(2005+3*$D$4-$A173)/((3-1)*$D$4)*AT173</f>
        <v>0</v>
      </c>
      <c r="BW173" s="5">
        <f>($A173-2006)/((3-1)*$D$4)*AT173+(2006+3*$D$4-$A173)/((3-1)*$D$4)*AU173</f>
        <v>0</v>
      </c>
      <c r="BX173" s="5">
        <f>($A173-2007)/((3-1)*$D$4)*AU173+(2007+3*$D$4-$A173)/((3-1)*$D$4)*AV173</f>
        <v>0</v>
      </c>
      <c r="BY173" s="5">
        <f>($A173-2008)/((3-1)*$D$4)*AV173+(2008+3*$D$4-$A173)/((3-1)*$D$4)*AW173</f>
        <v>0</v>
      </c>
      <c r="BZ173" s="5">
        <f>($A173-2009)/((3-1)*$D$4)*AW173+(2009+3*$D$4-$A173)/((3-1)*$D$4)*AX173</f>
        <v>0</v>
      </c>
      <c r="CA173" s="5">
        <f>($A173-2010)/((3-1)*$D$4)*AX173+(2010+3*$D$4-$A173)/((3-1)*$D$4)*AY173</f>
        <v>0</v>
      </c>
      <c r="CB173" s="5">
        <f>($A173-2011)/((3-1)*$D$4)*AY173+(2011+3*$D$4-$A173)/((3-1)*$D$4)*AZ173</f>
        <v>0</v>
      </c>
      <c r="CC173" s="5">
        <f>($A173-2012)/((3-1)*$D$4)*AZ173+(2012+3*$D$4-$A173)/((3-1)*$D$4)*BA173</f>
        <v>0</v>
      </c>
      <c r="CD173" s="5">
        <f>($A173-2013)/((3-1)*$D$4)*BA173+(2013+3*$D$4-$A173)/((3-1)*$D$4)*BB173</f>
        <v>0</v>
      </c>
      <c r="CE173" s="5">
        <f>($A173-2014)/((3-1)*$D$4)*BB173+(2014+3*$D$4-$A173)/((3-1)*$D$4)*BC173</f>
        <v>0</v>
      </c>
      <c r="CF173" s="5">
        <f>($A173-2015)/((3-1)*$D$4)*BC173+(2015+3*$D$4-$A173)/((3-1)*$D$4)*BD173</f>
        <v>0</v>
      </c>
      <c r="CG173" s="5">
        <f>($A173-2016)/((3-1)*$D$4)*BD173+(2016+3*$D$4-$A173)/((3-1)*$D$4)*BE173</f>
        <v>0.5</v>
      </c>
      <c r="CH173" s="5">
        <f>($A173-2017)/((3-1)*$D$4)*BE173+(2017+3*$D$4-$A173)/((3-1)*$D$4)*BF173</f>
        <v>0.5</v>
      </c>
      <c r="CI173" s="5">
        <f>($A173-2018)/((3-1)*$D$4)*BF173+(2018+3*$D$4-$A173)/((3-1)*$D$4)*BG173</f>
        <v>0</v>
      </c>
      <c r="CJ173" s="5">
        <f>($A173-2019)/((3-1)*$D$4)*BG173+(2019+3*$D$4-$A173)/((3-1)*$D$4)*BH173</f>
        <v>0</v>
      </c>
      <c r="CK173" s="5">
        <f>($A173-1992)/((4-1)*$D$4)*BI173+(1992+4*$D$4-$A173)/((4-1)*$D$4)*BJ173</f>
        <v>0</v>
      </c>
      <c r="CL173" s="5">
        <f>($A173-1993)/((4-1)*$D$4)*BJ173+(1993+4*$D$4-$A173)/((4-1)*$D$4)*BK173</f>
        <v>0</v>
      </c>
      <c r="CM173" s="5">
        <f>($A173-1994)/((4-1)*$D$4)*BK173+(1994+4*$D$4-$A173)/((4-1)*$D$4)*BL173</f>
        <v>0</v>
      </c>
      <c r="CN173" s="5">
        <f>($A173-1995)/((4-1)*$D$4)*BL173+(1995+4*$D$4-$A173)/((4-1)*$D$4)*BM173</f>
        <v>0</v>
      </c>
      <c r="CO173" s="5">
        <f>($A173-1996)/((4-1)*$D$4)*BM173+(1996+4*$D$4-$A173)/((4-1)*$D$4)*BN173</f>
        <v>0</v>
      </c>
      <c r="CP173" s="5">
        <f>($A173-1997)/((4-1)*$D$4)*BN173+(1997+4*$D$4-$A173)/((4-1)*$D$4)*BO173</f>
        <v>0</v>
      </c>
      <c r="CQ173" s="5">
        <f>($A173-1998)/((4-1)*$D$4)*BO173+(1998+4*$D$4-$A173)/((4-1)*$D$4)*BP173</f>
        <v>0</v>
      </c>
      <c r="CR173" s="5">
        <f>($A173-1999)/((4-1)*$D$4)*BP173+(1999+4*$D$4-$A173)/((4-1)*$D$4)*BQ173</f>
        <v>0</v>
      </c>
      <c r="CS173" s="5">
        <f>($A173-2000)/((4-1)*$D$4)*BQ173+(2000+4*$D$4-$A173)/((4-1)*$D$4)*BR173</f>
        <v>0</v>
      </c>
      <c r="CT173" s="5">
        <f>($A173-2001)/((4-1)*$D$4)*BR173+(2001+4*$D$4-$A173)/((4-1)*$D$4)*BS173</f>
        <v>0</v>
      </c>
      <c r="CU173" s="5">
        <f>($A173-2002)/((4-1)*$D$4)*BS173+(2002+4*$D$4-$A173)/((4-1)*$D$4)*BT173</f>
        <v>0</v>
      </c>
      <c r="CV173" s="5">
        <f>($A173-2003)/((4-1)*$D$4)*BT173+(2003+4*$D$4-$A173)/((4-1)*$D$4)*BU173</f>
        <v>0</v>
      </c>
      <c r="CW173" s="5">
        <f>($A173-2004)/((4-1)*$D$4)*BU173+(2004+4*$D$4-$A173)/((4-1)*$D$4)*BV173</f>
        <v>0</v>
      </c>
      <c r="CX173" s="5">
        <f>($A173-2005)/((4-1)*$D$4)*BV173+(2005+4*$D$4-$A173)/((4-1)*$D$4)*BW173</f>
        <v>0</v>
      </c>
      <c r="CY173" s="5">
        <f>($A173-2006)/((4-1)*$D$4)*BW173+(2006+4*$D$4-$A173)/((4-1)*$D$4)*BX173</f>
        <v>0</v>
      </c>
      <c r="CZ173" s="5">
        <f>($A173-2007)/((4-1)*$D$4)*BX173+(2007+4*$D$4-$A173)/((4-1)*$D$4)*BY173</f>
        <v>0</v>
      </c>
      <c r="DA173" s="5">
        <f>($A173-2008)/((4-1)*$D$4)*BY173+(2008+4*$D$4-$A173)/((4-1)*$D$4)*BZ173</f>
        <v>0</v>
      </c>
      <c r="DB173" s="5">
        <f>($A173-2009)/((4-1)*$D$4)*BZ173+(2009+4*$D$4-$A173)/((4-1)*$D$4)*CA173</f>
        <v>0</v>
      </c>
      <c r="DC173" s="5">
        <f>($A173-2010)/((4-1)*$D$4)*CA173+(2010+4*$D$4-$A173)/((4-1)*$D$4)*CB173</f>
        <v>0</v>
      </c>
      <c r="DD173" s="5">
        <f>($A173-2011)/((4-1)*$D$4)*CB173+(2011+4*$D$4-$A173)/((4-1)*$D$4)*CC173</f>
        <v>0</v>
      </c>
      <c r="DE173" s="5">
        <f>($A173-2012)/((4-1)*$D$4)*CC173+(2012+4*$D$4-$A173)/((4-1)*$D$4)*CD173</f>
        <v>0</v>
      </c>
      <c r="DF173" s="5">
        <f>($A173-2013)/((4-1)*$D$4)*CD173+(2013+4*$D$4-$A173)/((4-1)*$D$4)*CE173</f>
        <v>0</v>
      </c>
      <c r="DG173" s="5">
        <f>($A173-2014)/((4-1)*$D$4)*CE173+(2014+4*$D$4-$A173)/((4-1)*$D$4)*CF173</f>
        <v>0</v>
      </c>
      <c r="DH173" s="5">
        <f>($A173-2015)/((4-1)*$D$4)*CF173+(2015+4*$D$4-$A173)/((4-1)*$D$4)*CG173</f>
        <v>0.16666666666666666</v>
      </c>
      <c r="DI173" s="5">
        <f>($A173-2016)/((4-1)*$D$4)*CG173+(2016+4*$D$4-$A173)/((4-1)*$D$4)*CH173</f>
        <v>0.66666666666666663</v>
      </c>
      <c r="DJ173" s="5">
        <f>($A173-2017)/((4-1)*$D$4)*CH173+(2017+4*$D$4-$A173)/((4-1)*$D$4)*CI173</f>
        <v>0.16666666666666666</v>
      </c>
      <c r="DK173" s="5">
        <f>($A173-2018)/((4-1)*$D$4)*CI173+(2018+4*$D$4-$A173)/((4-1)*$D$4)*CJ173</f>
        <v>0</v>
      </c>
    </row>
    <row r="174">
      <c r="A174" s="3" t="n">
        <v>2019</v>
      </c>
      <c r="B174" s="5">
        <f>IF(AND($A174&gt;=1992,$A174&lt;1993),1,0)</f>
        <v>0</v>
      </c>
      <c r="C174" s="5">
        <f>IF(AND($A174&gt;=1993,$A174&lt;1994),1,0)</f>
        <v>0</v>
      </c>
      <c r="D174" s="5">
        <f>IF(AND($A174&gt;=1994,$A174&lt;1995),1,0)</f>
        <v>0</v>
      </c>
      <c r="E174" s="5">
        <f>IF(AND($A174&gt;=1995,$A174&lt;1996),1,0)</f>
        <v>0</v>
      </c>
      <c r="F174" s="5">
        <f>IF(AND($A174&gt;=1996,$A174&lt;1997),1,0)</f>
        <v>0</v>
      </c>
      <c r="G174" s="5">
        <f>IF(AND($A174&gt;=1997,$A174&lt;1998),1,0)</f>
        <v>0</v>
      </c>
      <c r="H174" s="5">
        <f>IF(AND($A174&gt;=1998,$A174&lt;1999),1,0)</f>
        <v>0</v>
      </c>
      <c r="I174" s="5">
        <f>IF(AND($A174&gt;=1999,$A174&lt;2000),1,0)</f>
        <v>0</v>
      </c>
      <c r="J174" s="5">
        <f>IF(AND($A174&gt;=2000,$A174&lt;2001),1,0)</f>
        <v>0</v>
      </c>
      <c r="K174" s="5">
        <f>IF(AND($A174&gt;=2001,$A174&lt;2002),1,0)</f>
        <v>0</v>
      </c>
      <c r="L174" s="5">
        <f>IF(AND($A174&gt;=2002,$A174&lt;2003),1,0)</f>
        <v>0</v>
      </c>
      <c r="M174" s="5">
        <f>IF(AND($A174&gt;=2003,$A174&lt;2004),1,0)</f>
        <v>0</v>
      </c>
      <c r="N174" s="5">
        <f>IF(AND($A174&gt;=2004,$A174&lt;2005),1,0)</f>
        <v>0</v>
      </c>
      <c r="O174" s="5">
        <f>IF(AND($A174&gt;=2005,$A174&lt;2006),1,0)</f>
        <v>0</v>
      </c>
      <c r="P174" s="5">
        <f>IF(AND($A174&gt;=2006,$A174&lt;2007),1,0)</f>
        <v>0</v>
      </c>
      <c r="Q174" s="5">
        <f>IF(AND($A174&gt;=2007,$A174&lt;2008),1,0)</f>
        <v>0</v>
      </c>
      <c r="R174" s="5">
        <f>IF(AND($A174&gt;=2008,$A174&lt;2009),1,0)</f>
        <v>0</v>
      </c>
      <c r="S174" s="5">
        <f>IF(AND($A174&gt;=2009,$A174&lt;2010),1,0)</f>
        <v>0</v>
      </c>
      <c r="T174" s="5">
        <f>IF(AND($A174&gt;=2010,$A174&lt;2011),1,0)</f>
        <v>0</v>
      </c>
      <c r="U174" s="5">
        <f>IF(AND($A174&gt;=2011,$A174&lt;2012),1,0)</f>
        <v>0</v>
      </c>
      <c r="V174" s="5">
        <f>IF(AND($A174&gt;=2012,$A174&lt;2013),1,0)</f>
        <v>0</v>
      </c>
      <c r="W174" s="5">
        <f>IF(AND($A174&gt;=2013,$A174&lt;2014),1,0)</f>
        <v>0</v>
      </c>
      <c r="X174" s="5">
        <f>IF(AND($A174&gt;=2014,$A174&lt;2015),1,0)</f>
        <v>0</v>
      </c>
      <c r="Y174" s="5">
        <f>IF(AND($A174&gt;=2015,$A174&lt;2016),1,0)</f>
        <v>0</v>
      </c>
      <c r="Z174" s="5">
        <f>IF(AND($A174&gt;=2016,$A174&lt;2017),1,0)</f>
        <v>0</v>
      </c>
      <c r="AA174" s="5">
        <f>IF(AND($A174&gt;=2017,$A174&lt;2018),1,0)</f>
        <v>0</v>
      </c>
      <c r="AB174" s="5">
        <f>IF(AND($A174&gt;=2018,$A174&lt;2019),1,0)</f>
        <v>0</v>
      </c>
      <c r="AC174" s="5">
        <f>IF(AND($A174&gt;=2019,$A174&lt;2020),1,0)</f>
        <v>1</v>
      </c>
      <c r="AD174" s="5">
        <f>IF(AND($A174&gt;=2020,$A174&lt;2021),1,0)</f>
        <v>0</v>
      </c>
      <c r="AE174" s="5">
        <f>IF(AND($A174&gt;=2021,$A174&lt;2022),1,0)</f>
        <v>0</v>
      </c>
      <c r="AF174" s="5">
        <f>($A174-1992)/((2-1)*$D$4)*B174+(1992+2*$D$4-$A174)/((2-1)*$D$4)*C174</f>
        <v>0</v>
      </c>
      <c r="AG174" s="5">
        <f>($A174-1993)/((2-1)*$D$4)*C174+(1993+2*$D$4-$A174)/((2-1)*$D$4)*D174</f>
        <v>0</v>
      </c>
      <c r="AH174" s="5">
        <f>($A174-1994)/((2-1)*$D$4)*D174+(1994+2*$D$4-$A174)/((2-1)*$D$4)*E174</f>
        <v>0</v>
      </c>
      <c r="AI174" s="5">
        <f>($A174-1995)/((2-1)*$D$4)*E174+(1995+2*$D$4-$A174)/((2-1)*$D$4)*F174</f>
        <v>0</v>
      </c>
      <c r="AJ174" s="5">
        <f>($A174-1996)/((2-1)*$D$4)*F174+(1996+2*$D$4-$A174)/((2-1)*$D$4)*G174</f>
        <v>0</v>
      </c>
      <c r="AK174" s="5">
        <f>($A174-1997)/((2-1)*$D$4)*G174+(1997+2*$D$4-$A174)/((2-1)*$D$4)*H174</f>
        <v>0</v>
      </c>
      <c r="AL174" s="5">
        <f>($A174-1998)/((2-1)*$D$4)*H174+(1998+2*$D$4-$A174)/((2-1)*$D$4)*I174</f>
        <v>0</v>
      </c>
      <c r="AM174" s="5">
        <f>($A174-1999)/((2-1)*$D$4)*I174+(1999+2*$D$4-$A174)/((2-1)*$D$4)*J174</f>
        <v>0</v>
      </c>
      <c r="AN174" s="5">
        <f>($A174-2000)/((2-1)*$D$4)*J174+(2000+2*$D$4-$A174)/((2-1)*$D$4)*K174</f>
        <v>0</v>
      </c>
      <c r="AO174" s="5">
        <f>($A174-2001)/((2-1)*$D$4)*K174+(2001+2*$D$4-$A174)/((2-1)*$D$4)*L174</f>
        <v>0</v>
      </c>
      <c r="AP174" s="5">
        <f>($A174-2002)/((2-1)*$D$4)*L174+(2002+2*$D$4-$A174)/((2-1)*$D$4)*M174</f>
        <v>0</v>
      </c>
      <c r="AQ174" s="5">
        <f>($A174-2003)/((2-1)*$D$4)*M174+(2003+2*$D$4-$A174)/((2-1)*$D$4)*N174</f>
        <v>0</v>
      </c>
      <c r="AR174" s="5">
        <f>($A174-2004)/((2-1)*$D$4)*N174+(2004+2*$D$4-$A174)/((2-1)*$D$4)*O174</f>
        <v>0</v>
      </c>
      <c r="AS174" s="5">
        <f>($A174-2005)/((2-1)*$D$4)*O174+(2005+2*$D$4-$A174)/((2-1)*$D$4)*P174</f>
        <v>0</v>
      </c>
      <c r="AT174" s="5">
        <f>($A174-2006)/((2-1)*$D$4)*P174+(2006+2*$D$4-$A174)/((2-1)*$D$4)*Q174</f>
        <v>0</v>
      </c>
      <c r="AU174" s="5">
        <f>($A174-2007)/((2-1)*$D$4)*Q174+(2007+2*$D$4-$A174)/((2-1)*$D$4)*R174</f>
        <v>0</v>
      </c>
      <c r="AV174" s="5">
        <f>($A174-2008)/((2-1)*$D$4)*R174+(2008+2*$D$4-$A174)/((2-1)*$D$4)*S174</f>
        <v>0</v>
      </c>
      <c r="AW174" s="5">
        <f>($A174-2009)/((2-1)*$D$4)*S174+(2009+2*$D$4-$A174)/((2-1)*$D$4)*T174</f>
        <v>0</v>
      </c>
      <c r="AX174" s="5">
        <f>($A174-2010)/((2-1)*$D$4)*T174+(2010+2*$D$4-$A174)/((2-1)*$D$4)*U174</f>
        <v>0</v>
      </c>
      <c r="AY174" s="5">
        <f>($A174-2011)/((2-1)*$D$4)*U174+(2011+2*$D$4-$A174)/((2-1)*$D$4)*V174</f>
        <v>0</v>
      </c>
      <c r="AZ174" s="5">
        <f>($A174-2012)/((2-1)*$D$4)*V174+(2012+2*$D$4-$A174)/((2-1)*$D$4)*W174</f>
        <v>0</v>
      </c>
      <c r="BA174" s="5">
        <f>($A174-2013)/((2-1)*$D$4)*W174+(2013+2*$D$4-$A174)/((2-1)*$D$4)*X174</f>
        <v>0</v>
      </c>
      <c r="BB174" s="5">
        <f>($A174-2014)/((2-1)*$D$4)*X174+(2014+2*$D$4-$A174)/((2-1)*$D$4)*Y174</f>
        <v>0</v>
      </c>
      <c r="BC174" s="5">
        <f>($A174-2015)/((2-1)*$D$4)*Y174+(2015+2*$D$4-$A174)/((2-1)*$D$4)*Z174</f>
        <v>0</v>
      </c>
      <c r="BD174" s="5">
        <f>($A174-2016)/((2-1)*$D$4)*Z174+(2016+2*$D$4-$A174)/((2-1)*$D$4)*AA174</f>
        <v>0</v>
      </c>
      <c r="BE174" s="5">
        <f>($A174-2017)/((2-1)*$D$4)*AA174+(2017+2*$D$4-$A174)/((2-1)*$D$4)*AB174</f>
        <v>0</v>
      </c>
      <c r="BF174" s="5">
        <f>($A174-2018)/((2-1)*$D$4)*AB174+(2018+2*$D$4-$A174)/((2-1)*$D$4)*AC174</f>
        <v>1</v>
      </c>
      <c r="BG174" s="5">
        <f>($A174-2019)/((2-1)*$D$4)*AC174+(2019+2*$D$4-$A174)/((2-1)*$D$4)*AD174</f>
        <v>0</v>
      </c>
      <c r="BH174" s="5">
        <f>($A174-2020)/((2-1)*$D$4)*AD174+(2020+2*$D$4-$A174)/((2-1)*$D$4)*AE174</f>
        <v>0</v>
      </c>
      <c r="BI174" s="5">
        <f>($A174-1992)/((3-1)*$D$4)*AF174+(1992+3*$D$4-$A174)/((3-1)*$D$4)*AG174</f>
        <v>0</v>
      </c>
      <c r="BJ174" s="5">
        <f>($A174-1993)/((3-1)*$D$4)*AG174+(1993+3*$D$4-$A174)/((3-1)*$D$4)*AH174</f>
        <v>0</v>
      </c>
      <c r="BK174" s="5">
        <f>($A174-1994)/((3-1)*$D$4)*AH174+(1994+3*$D$4-$A174)/((3-1)*$D$4)*AI174</f>
        <v>0</v>
      </c>
      <c r="BL174" s="5">
        <f>($A174-1995)/((3-1)*$D$4)*AI174+(1995+3*$D$4-$A174)/((3-1)*$D$4)*AJ174</f>
        <v>0</v>
      </c>
      <c r="BM174" s="5">
        <f>($A174-1996)/((3-1)*$D$4)*AJ174+(1996+3*$D$4-$A174)/((3-1)*$D$4)*AK174</f>
        <v>0</v>
      </c>
      <c r="BN174" s="5">
        <f>($A174-1997)/((3-1)*$D$4)*AK174+(1997+3*$D$4-$A174)/((3-1)*$D$4)*AL174</f>
        <v>0</v>
      </c>
      <c r="BO174" s="5">
        <f>($A174-1998)/((3-1)*$D$4)*AL174+(1998+3*$D$4-$A174)/((3-1)*$D$4)*AM174</f>
        <v>0</v>
      </c>
      <c r="BP174" s="5">
        <f>($A174-1999)/((3-1)*$D$4)*AM174+(1999+3*$D$4-$A174)/((3-1)*$D$4)*AN174</f>
        <v>0</v>
      </c>
      <c r="BQ174" s="5">
        <f>($A174-2000)/((3-1)*$D$4)*AN174+(2000+3*$D$4-$A174)/((3-1)*$D$4)*AO174</f>
        <v>0</v>
      </c>
      <c r="BR174" s="5">
        <f>($A174-2001)/((3-1)*$D$4)*AO174+(2001+3*$D$4-$A174)/((3-1)*$D$4)*AP174</f>
        <v>0</v>
      </c>
      <c r="BS174" s="5">
        <f>($A174-2002)/((3-1)*$D$4)*AP174+(2002+3*$D$4-$A174)/((3-1)*$D$4)*AQ174</f>
        <v>0</v>
      </c>
      <c r="BT174" s="5">
        <f>($A174-2003)/((3-1)*$D$4)*AQ174+(2003+3*$D$4-$A174)/((3-1)*$D$4)*AR174</f>
        <v>0</v>
      </c>
      <c r="BU174" s="5">
        <f>($A174-2004)/((3-1)*$D$4)*AR174+(2004+3*$D$4-$A174)/((3-1)*$D$4)*AS174</f>
        <v>0</v>
      </c>
      <c r="BV174" s="5">
        <f>($A174-2005)/((3-1)*$D$4)*AS174+(2005+3*$D$4-$A174)/((3-1)*$D$4)*AT174</f>
        <v>0</v>
      </c>
      <c r="BW174" s="5">
        <f>($A174-2006)/((3-1)*$D$4)*AT174+(2006+3*$D$4-$A174)/((3-1)*$D$4)*AU174</f>
        <v>0</v>
      </c>
      <c r="BX174" s="5">
        <f>($A174-2007)/((3-1)*$D$4)*AU174+(2007+3*$D$4-$A174)/((3-1)*$D$4)*AV174</f>
        <v>0</v>
      </c>
      <c r="BY174" s="5">
        <f>($A174-2008)/((3-1)*$D$4)*AV174+(2008+3*$D$4-$A174)/((3-1)*$D$4)*AW174</f>
        <v>0</v>
      </c>
      <c r="BZ174" s="5">
        <f>($A174-2009)/((3-1)*$D$4)*AW174+(2009+3*$D$4-$A174)/((3-1)*$D$4)*AX174</f>
        <v>0</v>
      </c>
      <c r="CA174" s="5">
        <f>($A174-2010)/((3-1)*$D$4)*AX174+(2010+3*$D$4-$A174)/((3-1)*$D$4)*AY174</f>
        <v>0</v>
      </c>
      <c r="CB174" s="5">
        <f>($A174-2011)/((3-1)*$D$4)*AY174+(2011+3*$D$4-$A174)/((3-1)*$D$4)*AZ174</f>
        <v>0</v>
      </c>
      <c r="CC174" s="5">
        <f>($A174-2012)/((3-1)*$D$4)*AZ174+(2012+3*$D$4-$A174)/((3-1)*$D$4)*BA174</f>
        <v>0</v>
      </c>
      <c r="CD174" s="5">
        <f>($A174-2013)/((3-1)*$D$4)*BA174+(2013+3*$D$4-$A174)/((3-1)*$D$4)*BB174</f>
        <v>0</v>
      </c>
      <c r="CE174" s="5">
        <f>($A174-2014)/((3-1)*$D$4)*BB174+(2014+3*$D$4-$A174)/((3-1)*$D$4)*BC174</f>
        <v>0</v>
      </c>
      <c r="CF174" s="5">
        <f>($A174-2015)/((3-1)*$D$4)*BC174+(2015+3*$D$4-$A174)/((3-1)*$D$4)*BD174</f>
        <v>0</v>
      </c>
      <c r="CG174" s="5">
        <f>($A174-2016)/((3-1)*$D$4)*BD174+(2016+3*$D$4-$A174)/((3-1)*$D$4)*BE174</f>
        <v>0</v>
      </c>
      <c r="CH174" s="5">
        <f>($A174-2017)/((3-1)*$D$4)*BE174+(2017+3*$D$4-$A174)/((3-1)*$D$4)*BF174</f>
        <v>0.5</v>
      </c>
      <c r="CI174" s="5">
        <f>($A174-2018)/((3-1)*$D$4)*BF174+(2018+3*$D$4-$A174)/((3-1)*$D$4)*BG174</f>
        <v>0.5</v>
      </c>
      <c r="CJ174" s="5">
        <f>($A174-2019)/((3-1)*$D$4)*BG174+(2019+3*$D$4-$A174)/((3-1)*$D$4)*BH174</f>
        <v>0</v>
      </c>
      <c r="CK174" s="5">
        <f>($A174-1992)/((4-1)*$D$4)*BI174+(1992+4*$D$4-$A174)/((4-1)*$D$4)*BJ174</f>
        <v>0</v>
      </c>
      <c r="CL174" s="5">
        <f>($A174-1993)/((4-1)*$D$4)*BJ174+(1993+4*$D$4-$A174)/((4-1)*$D$4)*BK174</f>
        <v>0</v>
      </c>
      <c r="CM174" s="5">
        <f>($A174-1994)/((4-1)*$D$4)*BK174+(1994+4*$D$4-$A174)/((4-1)*$D$4)*BL174</f>
        <v>0</v>
      </c>
      <c r="CN174" s="5">
        <f>($A174-1995)/((4-1)*$D$4)*BL174+(1995+4*$D$4-$A174)/((4-1)*$D$4)*BM174</f>
        <v>0</v>
      </c>
      <c r="CO174" s="5">
        <f>($A174-1996)/((4-1)*$D$4)*BM174+(1996+4*$D$4-$A174)/((4-1)*$D$4)*BN174</f>
        <v>0</v>
      </c>
      <c r="CP174" s="5">
        <f>($A174-1997)/((4-1)*$D$4)*BN174+(1997+4*$D$4-$A174)/((4-1)*$D$4)*BO174</f>
        <v>0</v>
      </c>
      <c r="CQ174" s="5">
        <f>($A174-1998)/((4-1)*$D$4)*BO174+(1998+4*$D$4-$A174)/((4-1)*$D$4)*BP174</f>
        <v>0</v>
      </c>
      <c r="CR174" s="5">
        <f>($A174-1999)/((4-1)*$D$4)*BP174+(1999+4*$D$4-$A174)/((4-1)*$D$4)*BQ174</f>
        <v>0</v>
      </c>
      <c r="CS174" s="5">
        <f>($A174-2000)/((4-1)*$D$4)*BQ174+(2000+4*$D$4-$A174)/((4-1)*$D$4)*BR174</f>
        <v>0</v>
      </c>
      <c r="CT174" s="5">
        <f>($A174-2001)/((4-1)*$D$4)*BR174+(2001+4*$D$4-$A174)/((4-1)*$D$4)*BS174</f>
        <v>0</v>
      </c>
      <c r="CU174" s="5">
        <f>($A174-2002)/((4-1)*$D$4)*BS174+(2002+4*$D$4-$A174)/((4-1)*$D$4)*BT174</f>
        <v>0</v>
      </c>
      <c r="CV174" s="5">
        <f>($A174-2003)/((4-1)*$D$4)*BT174+(2003+4*$D$4-$A174)/((4-1)*$D$4)*BU174</f>
        <v>0</v>
      </c>
      <c r="CW174" s="5">
        <f>($A174-2004)/((4-1)*$D$4)*BU174+(2004+4*$D$4-$A174)/((4-1)*$D$4)*BV174</f>
        <v>0</v>
      </c>
      <c r="CX174" s="5">
        <f>($A174-2005)/((4-1)*$D$4)*BV174+(2005+4*$D$4-$A174)/((4-1)*$D$4)*BW174</f>
        <v>0</v>
      </c>
      <c r="CY174" s="5">
        <f>($A174-2006)/((4-1)*$D$4)*BW174+(2006+4*$D$4-$A174)/((4-1)*$D$4)*BX174</f>
        <v>0</v>
      </c>
      <c r="CZ174" s="5">
        <f>($A174-2007)/((4-1)*$D$4)*BX174+(2007+4*$D$4-$A174)/((4-1)*$D$4)*BY174</f>
        <v>0</v>
      </c>
      <c r="DA174" s="5">
        <f>($A174-2008)/((4-1)*$D$4)*BY174+(2008+4*$D$4-$A174)/((4-1)*$D$4)*BZ174</f>
        <v>0</v>
      </c>
      <c r="DB174" s="5">
        <f>($A174-2009)/((4-1)*$D$4)*BZ174+(2009+4*$D$4-$A174)/((4-1)*$D$4)*CA174</f>
        <v>0</v>
      </c>
      <c r="DC174" s="5">
        <f>($A174-2010)/((4-1)*$D$4)*CA174+(2010+4*$D$4-$A174)/((4-1)*$D$4)*CB174</f>
        <v>0</v>
      </c>
      <c r="DD174" s="5">
        <f>($A174-2011)/((4-1)*$D$4)*CB174+(2011+4*$D$4-$A174)/((4-1)*$D$4)*CC174</f>
        <v>0</v>
      </c>
      <c r="DE174" s="5">
        <f>($A174-2012)/((4-1)*$D$4)*CC174+(2012+4*$D$4-$A174)/((4-1)*$D$4)*CD174</f>
        <v>0</v>
      </c>
      <c r="DF174" s="5">
        <f>($A174-2013)/((4-1)*$D$4)*CD174+(2013+4*$D$4-$A174)/((4-1)*$D$4)*CE174</f>
        <v>0</v>
      </c>
      <c r="DG174" s="5">
        <f>($A174-2014)/((4-1)*$D$4)*CE174+(2014+4*$D$4-$A174)/((4-1)*$D$4)*CF174</f>
        <v>0</v>
      </c>
      <c r="DH174" s="5">
        <f>($A174-2015)/((4-1)*$D$4)*CF174+(2015+4*$D$4-$A174)/((4-1)*$D$4)*CG174</f>
        <v>0</v>
      </c>
      <c r="DI174" s="5">
        <f>($A174-2016)/((4-1)*$D$4)*CG174+(2016+4*$D$4-$A174)/((4-1)*$D$4)*CH174</f>
        <v>0.16666666666666666</v>
      </c>
      <c r="DJ174" s="5">
        <f>($A174-2017)/((4-1)*$D$4)*CH174+(2017+4*$D$4-$A174)/((4-1)*$D$4)*CI174</f>
        <v>0.66666666666666663</v>
      </c>
      <c r="DK174" s="5">
        <f>($A174-2018)/((4-1)*$D$4)*CI174+(2018+4*$D$4-$A174)/((4-1)*$D$4)*CJ174</f>
        <v>0.16666666666666666</v>
      </c>
    </row>
    <row r="175"/>
    <row r="176"/>
    <row r="177"/>
    <row r="178"/>
    <row r="179"/>
    <row r="180" ht="42" customHeight="1">
      <c r="A180" s="2" t="inlineStr">
        <is>
          <t>Projection rule: continue coefficient trends with Δ²theta=0, i.e. theta_j=2*theta_(j−1)−theta_(j−2), starting from the final two estimated coefficients. Then evaluate the same cubic basis sum to obtain log mortality and use EXP to recover the mortality rate. Penalty and SSE use estimated coefficients/training data only.</t>
        </is>
      </c>
    </row>
    <row r="181"/>
    <row r="182" ht="42" customHeight="1">
      <c r="A182" s="2" t="inlineStr">
        <is>
          <t>Formula locations: A8:F32 rates/residuals; H15:L41 coefficients and differences; rows 71 onward design matrix; rows 91 onward normal equations; rows 111 onward D₂; rows 150–174 Cox–de Boor orders 1–4. Full-precision values are retained.</t>
        </is>
      </c>
    </row>
    <row r="184" ht="42" customHeight="1">
      <c r="A184" s="2" t="inlineStr">
        <is>
          <t>Solver reproduction (optional, same objective): first copy fitted theta cells I15:I26 and paste VALUES in place; minimise I10 by changing only those fitted theta cells; GRG Nonlinear, automatic scaling, no constraints, unrestricted signs. The saved matrix formulas already solve this exact quadratic objective.</t>
        </is>
      </c>
    </row>
  </sheetData>
  <mergeCells count="5">
    <mergeCell ref="A184:N184"/>
    <mergeCell ref="A2:N2"/>
    <mergeCell ref="A180:N180"/>
    <mergeCell ref="A182:N182"/>
    <mergeCell ref="A5:N5"/>
  </mergeCells>
  <pageMargins left="0.75" right="0.75" top="1" bottom="1" header="0.5" footer="0.5"/>
  <pageSetup orientation="landscape" paperSize="8"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0"/>
    <pageSetUpPr fitToPage="1"/>
  </sheetPr>
  <dimension ref="A1:N7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16" customWidth="1" min="7" max="7"/>
    <col width="23"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 width="16" customWidth="1" min="16" max="16"/>
    <col width="16" customWidth="1" min="17" max="17"/>
  </cols>
  <sheetData>
    <row r="1">
      <c r="A1" s="1" t="inlineStr">
        <is>
          <t>Q2(c): observed age-70 mortality, refitted M1 and M2</t>
        </is>
      </c>
    </row>
    <row r="2" ht="42" customHeight="1">
      <c r="A2" s="2" t="inlineStr">
        <is>
          <t>Instructor correction: use supplied spreadsheet data and discuss as age 70. Both M1 and M2 are independently fitted to 1995–2004 only. Observations after 2004 are shown for comparison, not used for fitting.</t>
        </is>
      </c>
    </row>
    <row r="3"/>
    <row r="4"/>
    <row r="5">
      <c r="A5" s="3" t="inlineStr">
        <is>
          <t>Year</t>
        </is>
      </c>
      <c r="B5" s="3" t="inlineStr">
        <is>
          <t>Observed rate</t>
        </is>
      </c>
      <c r="C5" s="3" t="inlineStr">
        <is>
          <t>Refitted M1</t>
        </is>
      </c>
      <c r="D5" s="3" t="inlineStr">
        <is>
          <t>M2</t>
        </is>
      </c>
      <c r="E5" s="3" t="inlineStr">
        <is>
          <t>Period</t>
        </is>
      </c>
      <c r="H5" s="1" t="inlineStr">
        <is>
          <t>Training diagnostics (1995–2004 only)</t>
        </is>
      </c>
    </row>
    <row r="6">
      <c r="A6" s="3" t="n">
        <v>1995</v>
      </c>
      <c r="B6" s="5">
        <f>'M_70_t'!B2</f>
        <v>0.00085662921497227005</v>
      </c>
      <c r="C6" s="5">
        <f>'Q2(c)_M1'!C8</f>
        <v>0.00087062189509931544</v>
      </c>
      <c r="D6" s="5">
        <f>'Q2(c)_M2'!C8</f>
        <v>0.00084301756115736227</v>
      </c>
      <c r="E6" s="3" t="inlineStr">
        <is>
          <t>Training</t>
        </is>
      </c>
    </row>
    <row r="7">
      <c r="A7" s="3" t="n">
        <v>1996</v>
      </c>
      <c r="B7" s="5">
        <f>'M_70_t'!B3</f>
        <v>0.00082999932605467902</v>
      </c>
      <c r="C7" s="5">
        <f>'Q2(c)_M1'!C9</f>
        <v>0.00087295780023666507</v>
      </c>
      <c r="D7" s="5">
        <f>'Q2(c)_M2'!C9</f>
        <v>0.00084087504779950279</v>
      </c>
      <c r="E7" s="3" t="inlineStr">
        <is>
          <t>Training</t>
        </is>
      </c>
      <c r="H7" s="3" t="inlineStr">
        <is>
          <t>Model</t>
        </is>
      </c>
      <c r="I7" s="3" t="inlineStr">
        <is>
          <t>SSE</t>
        </is>
      </c>
      <c r="J7" s="3" t="inlineStr">
        <is>
          <t>Penalty</t>
        </is>
      </c>
      <c r="K7" s="3" t="inlineStr">
        <is>
          <t>Objective</t>
        </is>
      </c>
      <c r="L7" s="3" t="inlineStr">
        <is>
          <t>Parameters</t>
        </is>
      </c>
    </row>
    <row r="8">
      <c r="A8" s="3" t="n">
        <v>1997</v>
      </c>
      <c r="B8" s="5">
        <f>'M_70_t'!B4</f>
        <v>0.00080999953267954299</v>
      </c>
      <c r="C8" s="5">
        <f>'Q2(c)_M1'!C10</f>
        <v>0.00087078595154445305</v>
      </c>
      <c r="D8" s="5">
        <f>'Q2(c)_M2'!C10</f>
        <v>0.0008578278505390137</v>
      </c>
      <c r="E8" s="3" t="inlineStr">
        <is>
          <t>Training</t>
        </is>
      </c>
      <c r="H8" s="3" t="inlineStr">
        <is>
          <t>M1</t>
        </is>
      </c>
      <c r="I8" s="5">
        <f>'Q2(c)_M1'!I8</f>
        <v>0.078972716925896413</v>
      </c>
      <c r="J8" s="5">
        <f>'Q2(c)_M1'!I9</f>
        <v>0.026319106304199504</v>
      </c>
      <c r="K8" s="5">
        <f>'Q2(c)_M1'!I10</f>
        <v>0.092132270077996167</v>
      </c>
      <c r="L8" s="3" t="n">
        <v>6</v>
      </c>
    </row>
    <row r="9">
      <c r="A9" s="3" t="n">
        <v>1998</v>
      </c>
      <c r="B9" s="5">
        <f>'M_70_t'!B5</f>
        <v>0.00097750974418243496</v>
      </c>
      <c r="C9" s="5">
        <f>'Q2(c)_M1'!C11</f>
        <v>0.00086076143962928635</v>
      </c>
      <c r="D9" s="5">
        <f>'Q2(c)_M2'!C11</f>
        <v>0.00088477982094816083</v>
      </c>
      <c r="E9" s="3" t="inlineStr">
        <is>
          <t>Training</t>
        </is>
      </c>
      <c r="H9" s="3" t="inlineStr">
        <is>
          <t>M2</t>
        </is>
      </c>
      <c r="I9" s="5">
        <f>'Q2(c)_M2'!I8</f>
        <v>0.052886242634524447</v>
      </c>
      <c r="J9" s="5">
        <f>'Q2(c)_M2'!I9</f>
        <v>0.012804923645663636</v>
      </c>
      <c r="K9" s="5">
        <f>'Q2(c)_M2'!I10</f>
        <v>0.059288704457356262</v>
      </c>
      <c r="L9" s="3" t="n">
        <v>12</v>
      </c>
    </row>
    <row r="10">
      <c r="A10" s="3" t="n">
        <v>1999</v>
      </c>
      <c r="B10" s="5">
        <f>'M_70_t'!B6</f>
        <v>0.00078849179100953001</v>
      </c>
      <c r="C10" s="5">
        <f>'Q2(c)_M1'!C12</f>
        <v>0.00084043561735633592</v>
      </c>
      <c r="D10" s="5">
        <f>'Q2(c)_M2'!C12</f>
        <v>0.00088983282502081676</v>
      </c>
      <c r="E10" s="3" t="inlineStr">
        <is>
          <t>Training</t>
        </is>
      </c>
    </row>
    <row r="11">
      <c r="A11" s="3" t="n">
        <v>2000</v>
      </c>
      <c r="B11" s="5">
        <f>'M_70_t'!B7</f>
        <v>0.00099667191302858196</v>
      </c>
      <c r="C11" s="5">
        <f>'Q2(c)_M1'!C13</f>
        <v>0.00081015217879328873</v>
      </c>
      <c r="D11" s="5">
        <f>'Q2(c)_M2'!C13</f>
        <v>0.00086510201614561325</v>
      </c>
      <c r="E11" s="3" t="inlineStr">
        <is>
          <t>Training</t>
        </is>
      </c>
    </row>
    <row r="12">
      <c r="A12" s="3" t="n">
        <v>2001</v>
      </c>
      <c r="B12" s="5">
        <f>'M_70_t'!B8</f>
        <v>0.00075112817897161302</v>
      </c>
      <c r="C12" s="5">
        <f>'Q2(c)_M1'!C14</f>
        <v>0.00077118367098127406</v>
      </c>
      <c r="D12" s="5">
        <f>'Q2(c)_M2'!C14</f>
        <v>0.00079031772554067996</v>
      </c>
      <c r="E12" s="3" t="inlineStr">
        <is>
          <t>Training</t>
        </is>
      </c>
      <c r="H12" s="1" t="inlineStr">
        <is>
          <t>Requested projection years</t>
        </is>
      </c>
    </row>
    <row r="13">
      <c r="A13" s="3" t="n">
        <v>2002</v>
      </c>
      <c r="B13" s="5">
        <f>'M_70_t'!B9</f>
        <v>0.00070428750137965703</v>
      </c>
      <c r="C13" s="5">
        <f>'Q2(c)_M1'!C15</f>
        <v>0.00072549063267319668</v>
      </c>
      <c r="D13" s="5">
        <f>'Q2(c)_M2'!C15</f>
        <v>0.00070765399908639167</v>
      </c>
      <c r="E13" s="3" t="inlineStr">
        <is>
          <t>Training</t>
        </is>
      </c>
    </row>
    <row r="14">
      <c r="A14" s="3" t="n">
        <v>2003</v>
      </c>
      <c r="B14" s="5">
        <f>'M_70_t'!B10</f>
        <v>0.00062560881810524603</v>
      </c>
      <c r="C14" s="5">
        <f>'Q2(c)_M1'!C16</f>
        <v>0.00067671034166159362</v>
      </c>
      <c r="D14" s="5">
        <f>'Q2(c)_M2'!C16</f>
        <v>0.00064858287658078363</v>
      </c>
      <c r="E14" s="3" t="inlineStr">
        <is>
          <t>Training</t>
        </is>
      </c>
      <c r="H14" s="3" t="inlineStr">
        <is>
          <t>Year</t>
        </is>
      </c>
      <c r="I14" s="3" t="inlineStr">
        <is>
          <t>Refitted M1</t>
        </is>
      </c>
      <c r="J14" s="3" t="inlineStr">
        <is>
          <t>M2</t>
        </is>
      </c>
    </row>
    <row r="15">
      <c r="A15" s="3" t="n">
        <v>2004</v>
      </c>
      <c r="B15" s="5">
        <f>'M_70_t'!B11</f>
        <v>0.00063014139456242795</v>
      </c>
      <c r="C15" s="5">
        <f>'Q2(c)_M1'!C17</f>
        <v>0.00062827565971880462</v>
      </c>
      <c r="D15" s="5">
        <f>'Q2(c)_M2'!C17</f>
        <v>0.00061413441824851775</v>
      </c>
      <c r="E15" s="3" t="inlineStr">
        <is>
          <t>Training</t>
        </is>
      </c>
      <c r="H15" s="3" t="n">
        <v>2007</v>
      </c>
      <c r="I15" s="5">
        <f>INDEX(C6:C30,MATCH(H15,A6:A30,0))</f>
        <v>0.00050003909881699005</v>
      </c>
      <c r="J15" s="5">
        <f>INDEX(D6:D30,MATCH(H15,A6:A30,0))</f>
        <v>0.00054251629139438968</v>
      </c>
    </row>
    <row r="16">
      <c r="A16" s="3" t="n">
        <v>2005</v>
      </c>
      <c r="B16" s="5">
        <f>'M_70_t'!B12</f>
        <v>0.000583834238658234</v>
      </c>
      <c r="C16" s="5">
        <f>'Q2(c)_M1'!C18</f>
        <v>0.0005824956577499985</v>
      </c>
      <c r="D16" s="5">
        <f>'Q2(c)_M2'!C18</f>
        <v>0.00058870719909535723</v>
      </c>
      <c r="E16" s="3" t="inlineStr">
        <is>
          <t>Projection / out of sample</t>
        </is>
      </c>
      <c r="H16" s="3" t="n">
        <v>2010</v>
      </c>
      <c r="I16" s="5">
        <f>INDEX(C6:C30,MATCH(H16,A6:A30,0))</f>
        <v>0.00039750391824097615</v>
      </c>
      <c r="J16" s="5">
        <f>INDEX(D6:D30,MATCH(H16,A6:A30,0))</f>
        <v>0.00047993557244409448</v>
      </c>
    </row>
    <row r="17">
      <c r="A17" s="3" t="n">
        <v>2006</v>
      </c>
      <c r="B17" s="5">
        <f>'M_70_t'!B13</f>
        <v>0.00049907284917174999</v>
      </c>
      <c r="C17" s="5">
        <f>'Q2(c)_M1'!C19</f>
        <v>0.00053976620827633228</v>
      </c>
      <c r="D17" s="5">
        <f>'Q2(c)_M2'!C19</f>
        <v>0.0005651400236847434</v>
      </c>
      <c r="E17" s="3" t="inlineStr">
        <is>
          <t>Projection / out of sample</t>
        </is>
      </c>
      <c r="H17" s="3" t="n">
        <v>2013</v>
      </c>
      <c r="I17" s="5">
        <f>INDEX(C6:C30,MATCH(H17,A6:A30,0))</f>
        <v>0.00031599402004913737</v>
      </c>
      <c r="J17" s="5">
        <f>INDEX(D6:D30,MATCH(H17,A6:A30,0))</f>
        <v>0.00042457370838619327</v>
      </c>
    </row>
    <row r="18">
      <c r="A18" s="3" t="n">
        <v>2007</v>
      </c>
      <c r="B18" s="5">
        <f>'M_70_t'!B14</f>
        <v>0.00056241539734553498</v>
      </c>
      <c r="C18" s="5">
        <f>'Q2(c)_M1'!C20</f>
        <v>0.00050003909881699005</v>
      </c>
      <c r="D18" s="5">
        <f>'Q2(c)_M2'!C20</f>
        <v>0.00054251629139438968</v>
      </c>
      <c r="E18" s="3" t="inlineStr">
        <is>
          <t>Projection / out of sample</t>
        </is>
      </c>
      <c r="H18" s="3" t="n">
        <v>2016</v>
      </c>
      <c r="I18" s="5">
        <f>INDEX(C6:C30,MATCH(H18,A6:A30,0))</f>
        <v>0.00025119807912505119</v>
      </c>
      <c r="J18" s="5">
        <f>INDEX(D6:D30,MATCH(H18,A6:A30,0))</f>
        <v>0.00037559798481868583</v>
      </c>
    </row>
    <row r="19">
      <c r="A19" s="3" t="n">
        <v>2008</v>
      </c>
      <c r="B19" s="5">
        <f>'M_70_t'!B15</f>
        <v>0.00056619807714629496</v>
      </c>
      <c r="C19" s="5">
        <f>'Q2(c)_M1'!C21</f>
        <v>0.00046321553266531176</v>
      </c>
      <c r="D19" s="5">
        <f>'Q2(c)_M2'!C21</f>
        <v>0.00052079823423107556</v>
      </c>
      <c r="E19" s="3" t="inlineStr">
        <is>
          <t>Projection / out of sample</t>
        </is>
      </c>
      <c r="H19" s="3" t="n">
        <v>2019</v>
      </c>
      <c r="I19" s="5">
        <f>INDEX(C6:C30,MATCH(H19,A6:A30,0))</f>
        <v>0.00019968882621988675</v>
      </c>
      <c r="J19" s="5">
        <f>INDEX(D6:D30,MATCH(H19,A6:A30,0))</f>
        <v>0.00033227174319408546</v>
      </c>
    </row>
    <row r="20">
      <c r="A20" s="3" t="n">
        <v>2009</v>
      </c>
      <c r="B20" s="5">
        <f>'M_70_t'!B16</f>
        <v>0.00054060671904999295</v>
      </c>
      <c r="C20" s="5">
        <f>'Q2(c)_M1'!C22</f>
        <v>0.0004291037045103922</v>
      </c>
      <c r="D20" s="5">
        <f>'Q2(c)_M2'!C22</f>
        <v>0.00049994959613301553</v>
      </c>
      <c r="E20" s="3" t="inlineStr">
        <is>
          <t>Projection / out of sample</t>
        </is>
      </c>
    </row>
    <row r="21">
      <c r="A21" s="3" t="n">
        <v>2010</v>
      </c>
      <c r="B21" s="5">
        <f>'M_70_t'!B17</f>
        <v>0.000485007361502359</v>
      </c>
      <c r="C21" s="5">
        <f>'Q2(c)_M1'!C23</f>
        <v>0.00039750391824097615</v>
      </c>
      <c r="D21" s="5">
        <f>'Q2(c)_M2'!C23</f>
        <v>0.00047993557244409448</v>
      </c>
      <c r="E21" s="3" t="inlineStr">
        <is>
          <t>Projection / out of sample</t>
        </is>
      </c>
    </row>
    <row r="22">
      <c r="A22" s="3" t="n">
        <v>2011</v>
      </c>
      <c r="B22" s="5">
        <f>'M_70_t'!B18</f>
        <v>0.00052495861425407497</v>
      </c>
      <c r="C22" s="5">
        <f>'Q2(c)_M1'!C24</f>
        <v>0.00036823118364176581</v>
      </c>
      <c r="D22" s="5">
        <f>'Q2(c)_M2'!C24</f>
        <v>0.00046072275181107981</v>
      </c>
      <c r="E22" s="3" t="inlineStr">
        <is>
          <t>Projection / out of sample</t>
        </is>
      </c>
    </row>
    <row r="23">
      <c r="A23" s="3" t="n">
        <v>2012</v>
      </c>
      <c r="B23" s="5">
        <f>'M_70_t'!B19</f>
        <v>0.00044495933160701001</v>
      </c>
      <c r="C23" s="5">
        <f>'Q2(c)_M1'!C25</f>
        <v>0.0003411141334310467</v>
      </c>
      <c r="D23" s="5">
        <f>'Q2(c)_M2'!C25</f>
        <v>0.00044227906040680045</v>
      </c>
      <c r="E23" s="3" t="inlineStr">
        <is>
          <t>Projection / out of sample</t>
        </is>
      </c>
    </row>
    <row r="24">
      <c r="A24" s="3" t="n">
        <v>2013</v>
      </c>
      <c r="B24" s="5">
        <f>'M_70_t'!B20</f>
        <v>0.00041112307243118301</v>
      </c>
      <c r="C24" s="5">
        <f>'Q2(c)_M1'!C26</f>
        <v>0.00031599402004913737</v>
      </c>
      <c r="D24" s="5">
        <f>'Q2(c)_M2'!C26</f>
        <v>0.00042457370838619327</v>
      </c>
      <c r="E24" s="3" t="inlineStr">
        <is>
          <t>Projection / out of sample</t>
        </is>
      </c>
    </row>
    <row r="25">
      <c r="A25" s="3" t="n">
        <v>2014</v>
      </c>
      <c r="B25" s="5">
        <f>'M_70_t'!B21</f>
        <v>0.00044881581519445602</v>
      </c>
      <c r="C25" s="5">
        <f>'Q2(c)_M1'!C27</f>
        <v>0.00029272378632472869</v>
      </c>
      <c r="D25" s="5">
        <f>'Q2(c)_M2'!C27</f>
        <v>0.00040757713848582812</v>
      </c>
      <c r="E25" s="3" t="inlineStr">
        <is>
          <t>Projection / out of sample</t>
        </is>
      </c>
    </row>
    <row r="26">
      <c r="A26" s="3" t="n">
        <v>2015</v>
      </c>
      <c r="B26" s="5">
        <f>'M_70_t'!B22</f>
        <v>0.00040681103089843998</v>
      </c>
      <c r="C26" s="5">
        <f>'Q2(c)_M1'!C28</f>
        <v>0.00027116720457862092</v>
      </c>
      <c r="D26" s="5">
        <f>'Q2(c)_M2'!C28</f>
        <v>0.00039126097668109423</v>
      </c>
      <c r="E26" s="3" t="inlineStr">
        <is>
          <t>Projection / out of sample</t>
        </is>
      </c>
    </row>
    <row r="27">
      <c r="A27" s="3" t="n">
        <v>2016</v>
      </c>
      <c r="B27" s="5">
        <f>'M_70_t'!B23</f>
        <v>0.00049105417911107405</v>
      </c>
      <c r="C27" s="5">
        <f>'Q2(c)_M1'!C29</f>
        <v>0.00025119807912505119</v>
      </c>
      <c r="D27" s="5">
        <f>'Q2(c)_M2'!C29</f>
        <v>0.00037559798481868583</v>
      </c>
      <c r="E27" s="3" t="inlineStr">
        <is>
          <t>Projection / out of sample</t>
        </is>
      </c>
    </row>
    <row r="28">
      <c r="A28" s="3" t="n">
        <v>2017</v>
      </c>
      <c r="B28" s="5">
        <f>'M_70_t'!B24</f>
        <v>0.000460024326747511</v>
      </c>
      <c r="C28" s="5">
        <f>'Q2(c)_M1'!C30</f>
        <v>0.00023269950750191268</v>
      </c>
      <c r="D28" s="5">
        <f>'Q2(c)_M2'!C30</f>
        <v>0.00036056201514531098</v>
      </c>
      <c r="E28" s="3" t="inlineStr">
        <is>
          <t>Projection / out of sample</t>
        </is>
      </c>
    </row>
    <row r="29">
      <c r="A29" s="3" t="n">
        <v>2018</v>
      </c>
      <c r="B29" s="5">
        <f>'M_70_t'!B25</f>
        <v>0.000416641795239238</v>
      </c>
      <c r="C29" s="5">
        <f>'Q2(c)_M1'!C31</f>
        <v>0.00021556319610499959</v>
      </c>
      <c r="D29" s="5">
        <f>'Q2(c)_M2'!C31</f>
        <v>0.00034612796665670477</v>
      </c>
      <c r="E29" s="3" t="inlineStr">
        <is>
          <t>Projection / out of sample</t>
        </is>
      </c>
    </row>
    <row r="30">
      <c r="A30" s="3" t="n">
        <v>2019</v>
      </c>
      <c r="B30" s="5">
        <f>'M_70_t'!B26</f>
        <v>0.00044343997079208703</v>
      </c>
      <c r="C30" s="5">
        <f>'Q2(c)_M1'!C32</f>
        <v>0.00019968882621988675</v>
      </c>
      <c r="D30" s="5">
        <f>'Q2(c)_M2'!C32</f>
        <v>0.00033227174319408546</v>
      </c>
      <c r="E30" s="3" t="inlineStr">
        <is>
          <t>Projection / out of sample</t>
        </is>
      </c>
    </row>
    <row r="31"/>
    <row r="32"/>
    <row r="33"/>
    <row r="34"/>
    <row r="35"/>
    <row r="36"/>
    <row r="37"/>
    <row r="38"/>
    <row r="39"/>
    <row r="40"/>
    <row r="41"/>
    <row r="42"/>
    <row r="43"/>
    <row r="44"/>
    <row r="45"/>
    <row r="46"/>
    <row r="47"/>
    <row r="48"/>
    <row r="49"/>
    <row r="50"/>
    <row r="51"/>
    <row r="52"/>
    <row r="53"/>
    <row r="54"/>
    <row r="55"/>
    <row r="56"/>
    <row r="57"/>
    <row r="58" ht="55" customHeight="1">
      <c r="A58" s="2" t="inlineStr">
        <is>
          <t>Overfitting: annual knots increase the fitted coefficients from 6 to 12 and hence increase flexibility. However, lambda=1 and the second-order difference penalty constrain coefficient curvature. More knots alone do not establish overfitting; the in-sample fit and projected behaviour must be considered together.</t>
        </is>
      </c>
    </row>
    <row r="59"/>
    <row r="60"/>
    <row r="61" ht="55" customHeight="1">
      <c r="A61" s="2" t="inlineStr">
        <is>
          <t>Evidence: refitted M1 SSE=0.07897271693, penalty=0.0263191063; M2 SSE=0.05288624263, penalty=0.01280492365. These are training diagnostics, not a new optimisation or a tuning criterion. The two different bases also mean identical numerical lambda does not imply identical effective smoothing.</t>
        </is>
      </c>
    </row>
    <row r="62"/>
    <row r="63"/>
    <row r="64" ht="55" customHeight="1">
      <c r="A64" s="2" t="inlineStr">
        <is>
          <t>Benefits of annual knots: they distribute local flexibility across each calendar year, reducing dependence on an arbitrary three-year knot placement and allowing annual mortality changes to be represented more locally. The penalty retains control of rapid coefficient variation.</t>
        </is>
      </c>
    </row>
    <row r="65"/>
    <row r="66"/>
    <row r="67" ht="55" customHeight="1">
      <c r="A67" s="2" t="inlineStr">
        <is>
          <t>Interpretation of theta_2001: it is a coefficient multiplying B_(2001,4), not the mortality rate or log mortality at year 2001. Under M1 the basis has support [2001,2013), lasting 12 years; under M2 it has support [2001,2005), lasting 4 years. Thus the same year label does not give the coefficient the same meaning or justify direct numerical comparison.</t>
        </is>
      </c>
    </row>
    <row r="68"/>
    <row r="69"/>
    <row r="70" ht="55" customHeight="1">
      <c r="A70" s="2" t="inlineStr">
        <is>
          <t>Sudden one-year changes: M2 has finer local resolution because its cubic basis supports span four years instead of twelve, so it can represent such a change more locally. Cubic smoothness and the fixed penalty can still attenuate the change; this does not guarantee better forecasts.</t>
        </is>
      </c>
    </row>
    <row r="71"/>
    <row r="72"/>
    <row r="73" ht="55" customHeight="1">
      <c r="A73" s="2" t="inlineStr">
        <is>
          <t>Projection: both models use the same zero-second-difference coefficient extension. The fitted coefficient tails differ, so their mortality projections may differ. Do not use the independent part-(b) M1 curve in this comparison.</t>
        </is>
      </c>
    </row>
  </sheetData>
  <mergeCells count="7">
    <mergeCell ref="A70:N70"/>
    <mergeCell ref="A67:N67"/>
    <mergeCell ref="A61:N61"/>
    <mergeCell ref="A2:N2"/>
    <mergeCell ref="A64:N64"/>
    <mergeCell ref="A73:N73"/>
    <mergeCell ref="A58:N58"/>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Runze Li</dc:creator>
  <dcterms:created xmlns:dcterms="http://purl.org/dc/terms/" xmlns:xsi="http://www.w3.org/2001/XMLSchema-instance" xsi:type="dcterms:W3CDTF">2026-08-07T10:08:00Z</dcterms:created>
  <dcterms:modified xmlns:dcterms="http://purl.org/dc/terms/" xmlns:xsi="http://www.w3.org/2001/XMLSchema-instance" xsi:type="dcterms:W3CDTF">2026-10-18T16:32:37Z</dcterms:modified>
  <cp:lastModifiedBy>李威</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B86263BC94804BCF17F1D46A328F67CB_42</vt:lpwstr>
  </property>
  <property name="KSOProductBuildVer" fmtid="{D5CDD505-2E9C-101B-9397-08002B2CF9AE}" pid="3">
    <vt:lpwstr xmlns:vt="http://schemas.openxmlformats.org/officeDocument/2006/docPropsVTypes">2052-12.1.25869.25869</vt:lpwstr>
  </property>
  <property name="CalculationRule" fmtid="{D5CDD505-2E9C-101B-9397-08002B2CF9AE}" pid="4">
    <vt:i4 xmlns:vt="http://schemas.openxmlformats.org/officeDocument/2006/docPropsVTypes">0</vt:i4>
  </property>
</Properties>
</file>